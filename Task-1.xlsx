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3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DA_ALL_TASK\"/>
    </mc:Choice>
  </mc:AlternateContent>
  <xr:revisionPtr revIDLastSave="0" documentId="13_ncr:1_{DB6C6881-CF43-4D6F-AF7D-62F77813FF7A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Q1" sheetId="2" r:id="rId1"/>
    <sheet name="Q2" sheetId="3" r:id="rId2"/>
    <sheet name="Q3" sheetId="12" r:id="rId3"/>
    <sheet name="Q4" sheetId="1" r:id="rId4"/>
    <sheet name="Q5" sheetId="6" r:id="rId5"/>
    <sheet name="Q6" sheetId="9" r:id="rId6"/>
    <sheet name="Q7" sheetId="14" r:id="rId7"/>
    <sheet name="Q8" sheetId="15" r:id="rId8"/>
    <sheet name="Q9" sheetId="16" r:id="rId9"/>
    <sheet name="Q10" sheetId="13" r:id="rId10"/>
  </sheets>
  <definedNames>
    <definedName name="_xlnm._FilterDatabase" localSheetId="0" hidden="1">'Q1'!#REF!</definedName>
    <definedName name="_xlnm._FilterDatabase" localSheetId="3" hidden="1">'Q4'!$O$1:$Q$440</definedName>
    <definedName name="ch">'Q4'!$O:$Q</definedName>
    <definedName name="id">'Q4'!$O$1:$P$440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1" l="1"/>
  <c r="Q2" i="1"/>
  <c r="R2" i="1"/>
  <c r="F10" i="1" s="1"/>
  <c r="Q3" i="1"/>
  <c r="R3" i="1"/>
  <c r="Q4" i="1"/>
  <c r="R4" i="1"/>
  <c r="Q5" i="1"/>
  <c r="R5" i="1"/>
  <c r="Q6" i="1"/>
  <c r="R6" i="1"/>
  <c r="Q7" i="1"/>
  <c r="R7" i="1"/>
  <c r="Q8" i="1"/>
  <c r="R8" i="1"/>
  <c r="Q9" i="1"/>
  <c r="R9" i="1"/>
  <c r="Q10" i="1"/>
  <c r="R10" i="1"/>
  <c r="Q11" i="1"/>
  <c r="R11" i="1"/>
  <c r="Q12" i="1"/>
  <c r="R12" i="1"/>
  <c r="Q13" i="1"/>
  <c r="R13" i="1"/>
  <c r="Q14" i="1"/>
  <c r="R14" i="1"/>
  <c r="Q15" i="1"/>
  <c r="R15" i="1"/>
  <c r="Q16" i="1"/>
  <c r="R16" i="1"/>
  <c r="Q17" i="1"/>
  <c r="R17" i="1"/>
  <c r="Q18" i="1"/>
  <c r="R18" i="1"/>
  <c r="Q19" i="1"/>
  <c r="R19" i="1"/>
  <c r="Q20" i="1"/>
  <c r="R20" i="1"/>
  <c r="Q21" i="1"/>
  <c r="R21" i="1"/>
  <c r="Q22" i="1"/>
  <c r="R22" i="1"/>
  <c r="Q23" i="1"/>
  <c r="R23" i="1"/>
  <c r="Q24" i="1"/>
  <c r="R24" i="1"/>
  <c r="Q25" i="1"/>
  <c r="R25" i="1"/>
  <c r="Q26" i="1"/>
  <c r="R26" i="1"/>
  <c r="Q27" i="1"/>
  <c r="R27" i="1"/>
  <c r="Q28" i="1"/>
  <c r="R28" i="1"/>
  <c r="Q29" i="1"/>
  <c r="R29" i="1"/>
  <c r="Q30" i="1"/>
  <c r="R30" i="1"/>
  <c r="Q31" i="1"/>
  <c r="R31" i="1"/>
  <c r="Q32" i="1"/>
  <c r="R32" i="1"/>
  <c r="Q33" i="1"/>
  <c r="R33" i="1"/>
  <c r="Q34" i="1"/>
  <c r="R34" i="1"/>
  <c r="Q35" i="1"/>
  <c r="R35" i="1"/>
  <c r="Q36" i="1"/>
  <c r="R36" i="1"/>
  <c r="Q37" i="1"/>
  <c r="R37" i="1"/>
  <c r="Q38" i="1"/>
  <c r="R38" i="1"/>
  <c r="Q39" i="1"/>
  <c r="R39" i="1"/>
  <c r="Q40" i="1"/>
  <c r="R40" i="1"/>
  <c r="Q41" i="1"/>
  <c r="R41" i="1"/>
  <c r="Q42" i="1"/>
  <c r="R42" i="1"/>
  <c r="Q43" i="1"/>
  <c r="R43" i="1"/>
  <c r="Q44" i="1"/>
  <c r="R44" i="1"/>
  <c r="Q45" i="1"/>
  <c r="R45" i="1"/>
  <c r="Q46" i="1"/>
  <c r="R46" i="1"/>
  <c r="Q47" i="1"/>
  <c r="R47" i="1"/>
  <c r="Q48" i="1"/>
  <c r="R48" i="1"/>
  <c r="Q49" i="1"/>
  <c r="R49" i="1"/>
  <c r="Q50" i="1"/>
  <c r="R50" i="1"/>
  <c r="Q51" i="1"/>
  <c r="R51" i="1"/>
  <c r="Q52" i="1"/>
  <c r="R52" i="1"/>
  <c r="Q53" i="1"/>
  <c r="R53" i="1"/>
  <c r="Q54" i="1"/>
  <c r="R54" i="1"/>
  <c r="Q55" i="1"/>
  <c r="R55" i="1"/>
  <c r="Q56" i="1"/>
  <c r="R56" i="1"/>
  <c r="Q57" i="1"/>
  <c r="R57" i="1"/>
  <c r="Q58" i="1"/>
  <c r="R58" i="1"/>
  <c r="Q59" i="1"/>
  <c r="R59" i="1"/>
  <c r="Q60" i="1"/>
  <c r="R60" i="1"/>
  <c r="Q61" i="1"/>
  <c r="R61" i="1"/>
  <c r="Q62" i="1"/>
  <c r="R62" i="1"/>
  <c r="Q63" i="1"/>
  <c r="R63" i="1"/>
  <c r="Q64" i="1"/>
  <c r="R64" i="1"/>
  <c r="Q65" i="1"/>
  <c r="R65" i="1"/>
  <c r="Q66" i="1"/>
  <c r="R66" i="1"/>
  <c r="Q67" i="1"/>
  <c r="R67" i="1"/>
  <c r="Q68" i="1"/>
  <c r="R68" i="1"/>
  <c r="Q69" i="1"/>
  <c r="R69" i="1"/>
  <c r="Q70" i="1"/>
  <c r="R70" i="1"/>
  <c r="Q71" i="1"/>
  <c r="R71" i="1"/>
  <c r="Q72" i="1"/>
  <c r="R72" i="1"/>
  <c r="Q73" i="1"/>
  <c r="R73" i="1"/>
  <c r="Q74" i="1"/>
  <c r="R74" i="1"/>
  <c r="Q75" i="1"/>
  <c r="R75" i="1"/>
  <c r="Q76" i="1"/>
  <c r="R76" i="1"/>
  <c r="Q77" i="1"/>
  <c r="R77" i="1"/>
  <c r="Q78" i="1"/>
  <c r="R78" i="1"/>
  <c r="Q79" i="1"/>
  <c r="R79" i="1"/>
  <c r="Q80" i="1"/>
  <c r="R80" i="1"/>
  <c r="Q81" i="1"/>
  <c r="R81" i="1"/>
  <c r="Q82" i="1"/>
  <c r="R82" i="1"/>
  <c r="Q83" i="1"/>
  <c r="R83" i="1"/>
  <c r="Q84" i="1"/>
  <c r="R84" i="1"/>
  <c r="Q85" i="1"/>
  <c r="R85" i="1"/>
  <c r="Q86" i="1"/>
  <c r="R86" i="1"/>
  <c r="Q87" i="1"/>
  <c r="R87" i="1"/>
  <c r="Q88" i="1"/>
  <c r="R88" i="1"/>
  <c r="Q89" i="1"/>
  <c r="R89" i="1"/>
  <c r="Q90" i="1"/>
  <c r="R90" i="1"/>
  <c r="Q91" i="1"/>
  <c r="R91" i="1"/>
  <c r="Q92" i="1"/>
  <c r="R92" i="1"/>
  <c r="Q93" i="1"/>
  <c r="R93" i="1"/>
  <c r="Q94" i="1"/>
  <c r="R94" i="1"/>
  <c r="Q95" i="1"/>
  <c r="R95" i="1"/>
  <c r="Q96" i="1"/>
  <c r="R96" i="1"/>
  <c r="Q97" i="1"/>
  <c r="R97" i="1"/>
  <c r="Q98" i="1"/>
  <c r="R98" i="1"/>
  <c r="Q99" i="1"/>
  <c r="R99" i="1"/>
  <c r="Q100" i="1"/>
  <c r="R100" i="1"/>
  <c r="Q101" i="1"/>
  <c r="R101" i="1"/>
  <c r="Q102" i="1"/>
  <c r="R102" i="1"/>
  <c r="Q103" i="1"/>
  <c r="R103" i="1"/>
  <c r="Q104" i="1"/>
  <c r="R104" i="1"/>
  <c r="Q105" i="1"/>
  <c r="R105" i="1"/>
  <c r="Q106" i="1"/>
  <c r="R106" i="1"/>
  <c r="Q107" i="1"/>
  <c r="R107" i="1"/>
  <c r="Q108" i="1"/>
  <c r="R108" i="1"/>
  <c r="Q109" i="1"/>
  <c r="R109" i="1"/>
  <c r="Q110" i="1"/>
  <c r="R110" i="1"/>
  <c r="Q111" i="1"/>
  <c r="R111" i="1"/>
  <c r="Q112" i="1"/>
  <c r="R112" i="1"/>
  <c r="Q113" i="1"/>
  <c r="R113" i="1"/>
  <c r="Q114" i="1"/>
  <c r="R114" i="1"/>
  <c r="Q115" i="1"/>
  <c r="R115" i="1"/>
  <c r="Q116" i="1"/>
  <c r="R116" i="1"/>
  <c r="Q117" i="1"/>
  <c r="R117" i="1"/>
  <c r="Q118" i="1"/>
  <c r="R118" i="1"/>
  <c r="Q119" i="1"/>
  <c r="R119" i="1"/>
  <c r="Q120" i="1"/>
  <c r="R120" i="1"/>
  <c r="Q121" i="1"/>
  <c r="R121" i="1"/>
  <c r="Q122" i="1"/>
  <c r="R122" i="1"/>
  <c r="Q123" i="1"/>
  <c r="R123" i="1"/>
  <c r="Q124" i="1"/>
  <c r="R124" i="1"/>
  <c r="Q125" i="1"/>
  <c r="R125" i="1"/>
  <c r="Q126" i="1"/>
  <c r="R126" i="1"/>
  <c r="Q127" i="1"/>
  <c r="R127" i="1"/>
  <c r="Q128" i="1"/>
  <c r="R128" i="1"/>
  <c r="Q129" i="1"/>
  <c r="R129" i="1"/>
  <c r="Q130" i="1"/>
  <c r="R130" i="1"/>
  <c r="Q131" i="1"/>
  <c r="R131" i="1"/>
  <c r="Q132" i="1"/>
  <c r="R132" i="1"/>
  <c r="Q133" i="1"/>
  <c r="R133" i="1"/>
  <c r="Q134" i="1"/>
  <c r="R134" i="1"/>
  <c r="Q135" i="1"/>
  <c r="R135" i="1"/>
  <c r="Q136" i="1"/>
  <c r="R136" i="1"/>
  <c r="Q137" i="1"/>
  <c r="R137" i="1"/>
  <c r="Q138" i="1"/>
  <c r="R138" i="1"/>
  <c r="Q139" i="1"/>
  <c r="R139" i="1"/>
  <c r="Q140" i="1"/>
  <c r="R140" i="1"/>
  <c r="Q141" i="1"/>
  <c r="R141" i="1"/>
  <c r="Q142" i="1"/>
  <c r="R142" i="1"/>
  <c r="Q143" i="1"/>
  <c r="R143" i="1"/>
  <c r="Q144" i="1"/>
  <c r="R144" i="1"/>
  <c r="Q145" i="1"/>
  <c r="R145" i="1"/>
  <c r="Q146" i="1"/>
  <c r="R146" i="1"/>
  <c r="Q147" i="1"/>
  <c r="R147" i="1"/>
  <c r="Q148" i="1"/>
  <c r="R148" i="1"/>
  <c r="Q149" i="1"/>
  <c r="R149" i="1"/>
  <c r="Q150" i="1"/>
  <c r="R150" i="1"/>
  <c r="Q151" i="1"/>
  <c r="R151" i="1"/>
  <c r="Q152" i="1"/>
  <c r="R152" i="1"/>
  <c r="Q153" i="1"/>
  <c r="R153" i="1"/>
  <c r="Q154" i="1"/>
  <c r="R154" i="1"/>
  <c r="Q155" i="1"/>
  <c r="R155" i="1"/>
  <c r="Q156" i="1"/>
  <c r="R156" i="1"/>
  <c r="Q157" i="1"/>
  <c r="R157" i="1"/>
  <c r="Q158" i="1"/>
  <c r="R158" i="1"/>
  <c r="Q159" i="1"/>
  <c r="R159" i="1"/>
  <c r="Q160" i="1"/>
  <c r="R160" i="1"/>
  <c r="Q161" i="1"/>
  <c r="R161" i="1"/>
  <c r="Q162" i="1"/>
  <c r="R162" i="1"/>
  <c r="Q163" i="1"/>
  <c r="R163" i="1"/>
  <c r="Q164" i="1"/>
  <c r="R164" i="1"/>
  <c r="Q165" i="1"/>
  <c r="R165" i="1"/>
  <c r="Q166" i="1"/>
  <c r="R166" i="1"/>
  <c r="Q167" i="1"/>
  <c r="R167" i="1"/>
  <c r="Q168" i="1"/>
  <c r="R168" i="1"/>
  <c r="Q169" i="1"/>
  <c r="R169" i="1"/>
  <c r="Q170" i="1"/>
  <c r="R170" i="1"/>
  <c r="Q171" i="1"/>
  <c r="R171" i="1"/>
  <c r="Q172" i="1"/>
  <c r="R172" i="1"/>
  <c r="Q173" i="1"/>
  <c r="R173" i="1"/>
  <c r="Q174" i="1"/>
  <c r="R174" i="1"/>
  <c r="Q175" i="1"/>
  <c r="R175" i="1"/>
  <c r="Q176" i="1"/>
  <c r="R176" i="1"/>
  <c r="Q177" i="1"/>
  <c r="R177" i="1"/>
  <c r="Q178" i="1"/>
  <c r="R178" i="1"/>
  <c r="Q179" i="1"/>
  <c r="R179" i="1"/>
  <c r="Q180" i="1"/>
  <c r="R180" i="1"/>
  <c r="Q181" i="1"/>
  <c r="R181" i="1"/>
  <c r="Q182" i="1"/>
  <c r="R182" i="1"/>
  <c r="Q183" i="1"/>
  <c r="R183" i="1"/>
  <c r="Q184" i="1"/>
  <c r="R184" i="1"/>
  <c r="Q185" i="1"/>
  <c r="R185" i="1"/>
  <c r="Q186" i="1"/>
  <c r="R186" i="1"/>
  <c r="Q187" i="1"/>
  <c r="R187" i="1"/>
  <c r="Q188" i="1"/>
  <c r="R188" i="1"/>
  <c r="Q189" i="1"/>
  <c r="R189" i="1"/>
  <c r="Q190" i="1"/>
  <c r="R190" i="1"/>
  <c r="Q191" i="1"/>
  <c r="R191" i="1"/>
  <c r="Q192" i="1"/>
  <c r="R192" i="1"/>
  <c r="Q193" i="1"/>
  <c r="R193" i="1"/>
  <c r="Q194" i="1"/>
  <c r="R194" i="1"/>
  <c r="Q195" i="1"/>
  <c r="R195" i="1"/>
  <c r="Q196" i="1"/>
  <c r="R196" i="1"/>
  <c r="Q197" i="1"/>
  <c r="R197" i="1"/>
  <c r="Q198" i="1"/>
  <c r="R198" i="1"/>
  <c r="Q199" i="1"/>
  <c r="R199" i="1"/>
  <c r="Q200" i="1"/>
  <c r="R200" i="1"/>
  <c r="Q201" i="1"/>
  <c r="R201" i="1"/>
  <c r="Q202" i="1"/>
  <c r="R202" i="1"/>
  <c r="Q203" i="1"/>
  <c r="R203" i="1"/>
  <c r="Q204" i="1"/>
  <c r="R204" i="1"/>
  <c r="Q205" i="1"/>
  <c r="R205" i="1"/>
  <c r="Q206" i="1"/>
  <c r="R206" i="1"/>
  <c r="Q207" i="1"/>
  <c r="R207" i="1"/>
  <c r="Q208" i="1"/>
  <c r="R208" i="1"/>
  <c r="Q209" i="1"/>
  <c r="R209" i="1"/>
  <c r="Q210" i="1"/>
  <c r="R210" i="1"/>
  <c r="Q211" i="1"/>
  <c r="R211" i="1"/>
  <c r="Q212" i="1"/>
  <c r="R212" i="1"/>
  <c r="Q213" i="1"/>
  <c r="R213" i="1"/>
  <c r="Q214" i="1"/>
  <c r="R214" i="1"/>
  <c r="Q215" i="1"/>
  <c r="R215" i="1"/>
  <c r="Q216" i="1"/>
  <c r="R216" i="1"/>
  <c r="Q217" i="1"/>
  <c r="R217" i="1"/>
  <c r="Q218" i="1"/>
  <c r="R218" i="1"/>
  <c r="Q219" i="1"/>
  <c r="R219" i="1"/>
  <c r="Q220" i="1"/>
  <c r="R220" i="1"/>
  <c r="Q221" i="1"/>
  <c r="R221" i="1"/>
  <c r="Q222" i="1"/>
  <c r="R222" i="1"/>
  <c r="Q223" i="1"/>
  <c r="R223" i="1"/>
  <c r="Q224" i="1"/>
  <c r="R224" i="1"/>
  <c r="Q225" i="1"/>
  <c r="R225" i="1"/>
  <c r="Q226" i="1"/>
  <c r="R226" i="1"/>
  <c r="Q227" i="1"/>
  <c r="R227" i="1"/>
  <c r="Q228" i="1"/>
  <c r="R228" i="1"/>
  <c r="Q229" i="1"/>
  <c r="R229" i="1"/>
  <c r="Q230" i="1"/>
  <c r="R230" i="1"/>
  <c r="Q231" i="1"/>
  <c r="R231" i="1"/>
  <c r="Q232" i="1"/>
  <c r="R232" i="1"/>
  <c r="Q233" i="1"/>
  <c r="R233" i="1"/>
  <c r="Q234" i="1"/>
  <c r="R234" i="1"/>
  <c r="Q235" i="1"/>
  <c r="R235" i="1"/>
  <c r="Q236" i="1"/>
  <c r="R236" i="1"/>
  <c r="Q237" i="1"/>
  <c r="R237" i="1"/>
  <c r="Q238" i="1"/>
  <c r="R238" i="1"/>
  <c r="Q239" i="1"/>
  <c r="R239" i="1"/>
  <c r="Q240" i="1"/>
  <c r="R240" i="1"/>
  <c r="Q241" i="1"/>
  <c r="R241" i="1"/>
  <c r="Q242" i="1"/>
  <c r="R242" i="1"/>
  <c r="Q243" i="1"/>
  <c r="R243" i="1"/>
  <c r="Q244" i="1"/>
  <c r="R244" i="1"/>
  <c r="Q245" i="1"/>
  <c r="R245" i="1"/>
  <c r="Q246" i="1"/>
  <c r="R246" i="1"/>
  <c r="Q247" i="1"/>
  <c r="R247" i="1"/>
  <c r="Q248" i="1"/>
  <c r="R248" i="1"/>
  <c r="Q249" i="1"/>
  <c r="R249" i="1"/>
  <c r="Q250" i="1"/>
  <c r="R250" i="1"/>
  <c r="Q251" i="1"/>
  <c r="R251" i="1"/>
  <c r="Q252" i="1"/>
  <c r="R252" i="1"/>
  <c r="Q253" i="1"/>
  <c r="R253" i="1"/>
  <c r="Q254" i="1"/>
  <c r="R254" i="1"/>
  <c r="Q255" i="1"/>
  <c r="R255" i="1"/>
  <c r="Q256" i="1"/>
  <c r="R256" i="1"/>
  <c r="Q257" i="1"/>
  <c r="R257" i="1"/>
  <c r="Q258" i="1"/>
  <c r="R258" i="1"/>
  <c r="Q259" i="1"/>
  <c r="R259" i="1"/>
  <c r="Q260" i="1"/>
  <c r="R260" i="1"/>
  <c r="Q261" i="1"/>
  <c r="R261" i="1"/>
  <c r="Q262" i="1"/>
  <c r="R262" i="1"/>
  <c r="Q263" i="1"/>
  <c r="R263" i="1"/>
  <c r="Q264" i="1"/>
  <c r="R264" i="1"/>
  <c r="Q265" i="1"/>
  <c r="R265" i="1"/>
  <c r="Q266" i="1"/>
  <c r="R266" i="1"/>
  <c r="Q267" i="1"/>
  <c r="R267" i="1"/>
  <c r="Q268" i="1"/>
  <c r="R268" i="1"/>
  <c r="Q269" i="1"/>
  <c r="R269" i="1"/>
  <c r="Q270" i="1"/>
  <c r="R270" i="1"/>
  <c r="Q271" i="1"/>
  <c r="R271" i="1"/>
  <c r="Q272" i="1"/>
  <c r="R272" i="1"/>
  <c r="Q273" i="1"/>
  <c r="R273" i="1"/>
  <c r="Q274" i="1"/>
  <c r="R274" i="1"/>
  <c r="Q275" i="1"/>
  <c r="R275" i="1"/>
  <c r="Q276" i="1"/>
  <c r="R276" i="1"/>
  <c r="Q277" i="1"/>
  <c r="R277" i="1"/>
  <c r="Q278" i="1"/>
  <c r="R278" i="1"/>
  <c r="Q279" i="1"/>
  <c r="R279" i="1"/>
  <c r="Q280" i="1"/>
  <c r="R280" i="1"/>
  <c r="Q281" i="1"/>
  <c r="R281" i="1"/>
  <c r="Q282" i="1"/>
  <c r="R282" i="1"/>
  <c r="Q283" i="1"/>
  <c r="R283" i="1"/>
  <c r="Q284" i="1"/>
  <c r="R284" i="1"/>
  <c r="Q285" i="1"/>
  <c r="R285" i="1"/>
  <c r="Q286" i="1"/>
  <c r="R286" i="1"/>
  <c r="Q287" i="1"/>
  <c r="R287" i="1"/>
  <c r="Q288" i="1"/>
  <c r="R288" i="1"/>
  <c r="Q289" i="1"/>
  <c r="R289" i="1"/>
  <c r="Q290" i="1"/>
  <c r="R290" i="1"/>
  <c r="Q291" i="1"/>
  <c r="R291" i="1"/>
  <c r="Q292" i="1"/>
  <c r="R292" i="1"/>
  <c r="Q293" i="1"/>
  <c r="R293" i="1"/>
  <c r="Q294" i="1"/>
  <c r="R294" i="1"/>
  <c r="Q295" i="1"/>
  <c r="R295" i="1"/>
  <c r="Q296" i="1"/>
  <c r="R296" i="1"/>
  <c r="Q297" i="1"/>
  <c r="R297" i="1"/>
  <c r="Q298" i="1"/>
  <c r="R298" i="1"/>
  <c r="Q299" i="1"/>
  <c r="R299" i="1"/>
  <c r="Q300" i="1"/>
  <c r="R300" i="1"/>
  <c r="Q301" i="1"/>
  <c r="R301" i="1"/>
  <c r="Q302" i="1"/>
  <c r="R302" i="1"/>
  <c r="Q303" i="1"/>
  <c r="R303" i="1"/>
  <c r="Q304" i="1"/>
  <c r="R304" i="1"/>
  <c r="Q305" i="1"/>
  <c r="R305" i="1"/>
  <c r="Q306" i="1"/>
  <c r="R306" i="1"/>
  <c r="Q307" i="1"/>
  <c r="R307" i="1"/>
  <c r="Q308" i="1"/>
  <c r="R308" i="1"/>
  <c r="Q309" i="1"/>
  <c r="R309" i="1"/>
  <c r="Q310" i="1"/>
  <c r="R310" i="1"/>
  <c r="Q311" i="1"/>
  <c r="R311" i="1"/>
  <c r="Q312" i="1"/>
  <c r="R312" i="1"/>
  <c r="Q313" i="1"/>
  <c r="R313" i="1"/>
  <c r="Q314" i="1"/>
  <c r="R314" i="1"/>
  <c r="Q315" i="1"/>
  <c r="R315" i="1"/>
  <c r="Q316" i="1"/>
  <c r="R316" i="1"/>
  <c r="Q317" i="1"/>
  <c r="R317" i="1"/>
  <c r="Q318" i="1"/>
  <c r="R318" i="1"/>
  <c r="Q319" i="1"/>
  <c r="R319" i="1"/>
  <c r="Q320" i="1"/>
  <c r="R320" i="1"/>
  <c r="Q321" i="1"/>
  <c r="R321" i="1"/>
  <c r="Q322" i="1"/>
  <c r="R322" i="1"/>
  <c r="Q323" i="1"/>
  <c r="R323" i="1"/>
  <c r="Q324" i="1"/>
  <c r="R324" i="1"/>
  <c r="Q325" i="1"/>
  <c r="R325" i="1"/>
  <c r="Q326" i="1"/>
  <c r="R326" i="1"/>
  <c r="Q327" i="1"/>
  <c r="R327" i="1"/>
  <c r="Q328" i="1"/>
  <c r="R328" i="1"/>
  <c r="Q329" i="1"/>
  <c r="R329" i="1"/>
  <c r="Q330" i="1"/>
  <c r="R330" i="1"/>
  <c r="Q331" i="1"/>
  <c r="R331" i="1"/>
  <c r="Q332" i="1"/>
  <c r="R332" i="1"/>
  <c r="Q333" i="1"/>
  <c r="R333" i="1"/>
  <c r="Q334" i="1"/>
  <c r="R334" i="1"/>
  <c r="Q335" i="1"/>
  <c r="R335" i="1"/>
  <c r="Q336" i="1"/>
  <c r="R336" i="1"/>
  <c r="Q337" i="1"/>
  <c r="R337" i="1"/>
  <c r="Q338" i="1"/>
  <c r="R338" i="1"/>
  <c r="Q339" i="1"/>
  <c r="R339" i="1"/>
  <c r="Q340" i="1"/>
  <c r="R340" i="1"/>
  <c r="Q341" i="1"/>
  <c r="R341" i="1"/>
  <c r="Q342" i="1"/>
  <c r="R342" i="1"/>
  <c r="Q343" i="1"/>
  <c r="R343" i="1"/>
  <c r="Q344" i="1"/>
  <c r="R344" i="1"/>
  <c r="Q345" i="1"/>
  <c r="R345" i="1"/>
  <c r="Q346" i="1"/>
  <c r="R346" i="1"/>
  <c r="Q347" i="1"/>
  <c r="R347" i="1"/>
  <c r="Q348" i="1"/>
  <c r="R348" i="1"/>
  <c r="Q349" i="1"/>
  <c r="R349" i="1"/>
  <c r="Q350" i="1"/>
  <c r="R350" i="1"/>
  <c r="Q351" i="1"/>
  <c r="R351" i="1"/>
  <c r="Q352" i="1"/>
  <c r="R352" i="1"/>
  <c r="Q353" i="1"/>
  <c r="R353" i="1"/>
  <c r="Q354" i="1"/>
  <c r="R354" i="1"/>
  <c r="Q355" i="1"/>
  <c r="R355" i="1"/>
  <c r="Q356" i="1"/>
  <c r="R356" i="1"/>
  <c r="Q357" i="1"/>
  <c r="R357" i="1"/>
  <c r="Q358" i="1"/>
  <c r="R358" i="1"/>
  <c r="Q359" i="1"/>
  <c r="R359" i="1"/>
  <c r="Q360" i="1"/>
  <c r="R360" i="1"/>
  <c r="Q361" i="1"/>
  <c r="R361" i="1"/>
  <c r="Q362" i="1"/>
  <c r="R362" i="1"/>
  <c r="Q363" i="1"/>
  <c r="R363" i="1"/>
  <c r="Q364" i="1"/>
  <c r="R364" i="1"/>
  <c r="Q365" i="1"/>
  <c r="R365" i="1"/>
  <c r="Q366" i="1"/>
  <c r="R366" i="1"/>
  <c r="Q367" i="1"/>
  <c r="R367" i="1"/>
  <c r="Q368" i="1"/>
  <c r="R368" i="1"/>
  <c r="Q369" i="1"/>
  <c r="R369" i="1"/>
  <c r="Q370" i="1"/>
  <c r="R370" i="1"/>
  <c r="Q371" i="1"/>
  <c r="R371" i="1"/>
  <c r="Q372" i="1"/>
  <c r="R372" i="1"/>
  <c r="Q373" i="1"/>
  <c r="R373" i="1"/>
  <c r="Q374" i="1"/>
  <c r="R374" i="1"/>
  <c r="Q375" i="1"/>
  <c r="R375" i="1"/>
  <c r="Q376" i="1"/>
  <c r="R376" i="1"/>
  <c r="Q377" i="1"/>
  <c r="R377" i="1"/>
  <c r="Q378" i="1"/>
  <c r="R378" i="1"/>
  <c r="Q379" i="1"/>
  <c r="R379" i="1"/>
  <c r="Q380" i="1"/>
  <c r="R380" i="1"/>
  <c r="Q381" i="1"/>
  <c r="R381" i="1"/>
  <c r="Q382" i="1"/>
  <c r="R382" i="1"/>
  <c r="Q383" i="1"/>
  <c r="R383" i="1"/>
  <c r="Q384" i="1"/>
  <c r="R384" i="1"/>
  <c r="Q385" i="1"/>
  <c r="R385" i="1"/>
  <c r="Q386" i="1"/>
  <c r="R386" i="1"/>
  <c r="Q387" i="1"/>
  <c r="R387" i="1"/>
  <c r="Q388" i="1"/>
  <c r="R388" i="1"/>
  <c r="Q389" i="1"/>
  <c r="R389" i="1"/>
  <c r="Q390" i="1"/>
  <c r="R390" i="1"/>
  <c r="Q391" i="1"/>
  <c r="R391" i="1"/>
  <c r="Q392" i="1"/>
  <c r="R392" i="1"/>
  <c r="Q393" i="1"/>
  <c r="R393" i="1"/>
  <c r="Q394" i="1"/>
  <c r="R394" i="1"/>
  <c r="Q395" i="1"/>
  <c r="R395" i="1"/>
  <c r="Q396" i="1"/>
  <c r="R396" i="1"/>
  <c r="Q397" i="1"/>
  <c r="R397" i="1"/>
  <c r="Q398" i="1"/>
  <c r="R398" i="1"/>
  <c r="Q399" i="1"/>
  <c r="R399" i="1"/>
  <c r="Q400" i="1"/>
  <c r="R400" i="1"/>
  <c r="Q401" i="1"/>
  <c r="R401" i="1"/>
  <c r="Q402" i="1"/>
  <c r="R402" i="1"/>
  <c r="Q403" i="1"/>
  <c r="R403" i="1"/>
  <c r="Q404" i="1"/>
  <c r="R404" i="1"/>
  <c r="Q405" i="1"/>
  <c r="R405" i="1"/>
  <c r="Q406" i="1"/>
  <c r="R406" i="1"/>
  <c r="Q407" i="1"/>
  <c r="R407" i="1"/>
  <c r="Q408" i="1"/>
  <c r="R408" i="1"/>
  <c r="Q409" i="1"/>
  <c r="R409" i="1"/>
  <c r="Q410" i="1"/>
  <c r="R410" i="1"/>
  <c r="Q411" i="1"/>
  <c r="R411" i="1"/>
  <c r="Q412" i="1"/>
  <c r="R412" i="1"/>
  <c r="Q413" i="1"/>
  <c r="R413" i="1"/>
  <c r="Q414" i="1"/>
  <c r="R414" i="1"/>
  <c r="Q415" i="1"/>
  <c r="R415" i="1"/>
  <c r="Q416" i="1"/>
  <c r="R416" i="1"/>
  <c r="Q417" i="1"/>
  <c r="R417" i="1"/>
  <c r="Q418" i="1"/>
  <c r="R418" i="1"/>
  <c r="Q419" i="1"/>
  <c r="R419" i="1"/>
  <c r="Q420" i="1"/>
  <c r="R420" i="1"/>
  <c r="Q421" i="1"/>
  <c r="R421" i="1"/>
  <c r="Q422" i="1"/>
  <c r="R422" i="1"/>
  <c r="Q423" i="1"/>
  <c r="R423" i="1"/>
  <c r="Q424" i="1"/>
  <c r="R424" i="1"/>
  <c r="Q425" i="1"/>
  <c r="R425" i="1"/>
  <c r="Q426" i="1"/>
  <c r="R426" i="1"/>
  <c r="Q427" i="1"/>
  <c r="R427" i="1"/>
  <c r="Q428" i="1"/>
  <c r="R428" i="1"/>
  <c r="Q429" i="1"/>
  <c r="R429" i="1"/>
  <c r="Q430" i="1"/>
  <c r="R430" i="1"/>
  <c r="Q431" i="1"/>
  <c r="R431" i="1"/>
  <c r="Q432" i="1"/>
  <c r="R432" i="1"/>
  <c r="Q433" i="1"/>
  <c r="R433" i="1"/>
  <c r="Q434" i="1"/>
  <c r="R434" i="1"/>
  <c r="Q435" i="1"/>
  <c r="R435" i="1"/>
  <c r="Q436" i="1"/>
  <c r="R436" i="1"/>
  <c r="Q437" i="1"/>
  <c r="R437" i="1"/>
  <c r="Q438" i="1"/>
  <c r="R438" i="1"/>
  <c r="Q439" i="1"/>
  <c r="R439" i="1"/>
  <c r="Q440" i="1"/>
  <c r="R440" i="1"/>
  <c r="D3" i="1"/>
  <c r="F11" i="1"/>
  <c r="B2" i="3" a="1"/>
  <c r="B2" i="3" s="1"/>
  <c r="G6" i="16"/>
  <c r="G7" i="16"/>
  <c r="G8" i="16"/>
  <c r="G5" i="16"/>
  <c r="G11" i="15" a="1"/>
  <c r="G11" i="15" s="1"/>
  <c r="G7" i="15" a="1"/>
  <c r="G7" i="15" s="1"/>
  <c r="G8" i="15" a="1"/>
  <c r="G8" i="15" s="1"/>
  <c r="G9" i="15" a="1"/>
  <c r="G9" i="15" s="1"/>
  <c r="G10" i="15" a="1"/>
  <c r="G10" i="15" s="1"/>
  <c r="G6" i="15" a="1"/>
  <c r="G6" i="15" s="1"/>
  <c r="E10" i="14"/>
  <c r="E11" i="14"/>
  <c r="E9" i="14"/>
  <c r="D7" i="9"/>
  <c r="D9" i="9"/>
  <c r="D10" i="9"/>
  <c r="D11" i="9"/>
  <c r="D8" i="9"/>
  <c r="G6" i="6"/>
  <c r="G7" i="6"/>
  <c r="G8" i="6"/>
  <c r="G9" i="6"/>
  <c r="G10" i="6"/>
  <c r="G11" i="6"/>
  <c r="G12" i="6"/>
  <c r="G13" i="6"/>
  <c r="G14" i="6"/>
  <c r="G15" i="6"/>
  <c r="G16" i="6"/>
  <c r="F6" i="6"/>
  <c r="F7" i="6"/>
  <c r="F8" i="6"/>
  <c r="F9" i="6"/>
  <c r="F10" i="6"/>
  <c r="F11" i="6"/>
  <c r="F12" i="6"/>
  <c r="F13" i="6"/>
  <c r="F14" i="6"/>
  <c r="F15" i="6"/>
  <c r="F16" i="6"/>
  <c r="E6" i="6"/>
  <c r="E7" i="6"/>
  <c r="E8" i="6"/>
  <c r="E9" i="6"/>
  <c r="E10" i="6"/>
  <c r="E11" i="6"/>
  <c r="E12" i="6"/>
  <c r="E13" i="6"/>
  <c r="E14" i="6"/>
  <c r="E15" i="6"/>
  <c r="E16" i="6"/>
  <c r="D6" i="6"/>
  <c r="D7" i="6"/>
  <c r="D8" i="6"/>
  <c r="D9" i="6"/>
  <c r="D10" i="6"/>
  <c r="D11" i="6"/>
  <c r="D12" i="6"/>
  <c r="D13" i="6"/>
  <c r="D14" i="6"/>
  <c r="D15" i="6"/>
  <c r="D16" i="6"/>
  <c r="I6" i="9"/>
  <c r="I7" i="9"/>
  <c r="I8" i="9"/>
  <c r="I9" i="9"/>
  <c r="I10" i="9"/>
  <c r="I11" i="9"/>
  <c r="I5" i="9"/>
  <c r="H6" i="9"/>
  <c r="H7" i="9"/>
  <c r="H8" i="9"/>
  <c r="H9" i="9"/>
  <c r="H10" i="9"/>
  <c r="H11" i="9"/>
  <c r="H5" i="9"/>
  <c r="C7" i="9"/>
  <c r="G7" i="9"/>
  <c r="C6" i="9"/>
  <c r="C5" i="9"/>
  <c r="C8" i="9"/>
  <c r="C9" i="9"/>
  <c r="C10" i="9"/>
  <c r="C11" i="9"/>
  <c r="B8" i="9"/>
  <c r="G6" i="9"/>
  <c r="G8" i="9"/>
  <c r="G9" i="9"/>
  <c r="G10" i="9"/>
  <c r="G11" i="9"/>
  <c r="G5" i="9"/>
  <c r="F6" i="9"/>
  <c r="F7" i="9"/>
  <c r="F8" i="9"/>
  <c r="F9" i="9"/>
  <c r="F10" i="9"/>
  <c r="F11" i="9"/>
  <c r="F5" i="9"/>
  <c r="B9" i="12"/>
  <c r="B5" i="12"/>
  <c r="B6" i="9"/>
  <c r="B7" i="9"/>
  <c r="B9" i="9"/>
  <c r="B10" i="9"/>
  <c r="B11" i="9"/>
  <c r="B5" i="9"/>
  <c r="G13" i="1" l="1"/>
  <c r="G12" i="1"/>
  <c r="I12" i="1"/>
  <c r="E13" i="1"/>
  <c r="E6" i="9"/>
  <c r="E7" i="9"/>
  <c r="E8" i="9"/>
  <c r="E9" i="9"/>
  <c r="E10" i="9"/>
  <c r="E11" i="9"/>
  <c r="E5" i="9"/>
  <c r="C6" i="6" l="1"/>
  <c r="C7" i="6"/>
  <c r="C8" i="6"/>
  <c r="C9" i="6"/>
  <c r="C10" i="6"/>
  <c r="C11" i="6"/>
  <c r="C12" i="6"/>
  <c r="C13" i="6"/>
  <c r="C14" i="6"/>
  <c r="C15" i="6"/>
  <c r="C16" i="6"/>
  <c r="B6" i="6"/>
  <c r="B7" i="6"/>
  <c r="B8" i="6"/>
  <c r="B9" i="6"/>
  <c r="B10" i="6"/>
  <c r="B11" i="6"/>
  <c r="B12" i="6"/>
  <c r="B13" i="6"/>
  <c r="B14" i="6"/>
  <c r="B15" i="6"/>
  <c r="B16" i="6"/>
  <c r="G5" i="6"/>
  <c r="F5" i="6"/>
  <c r="E5" i="6"/>
  <c r="D5" i="6"/>
  <c r="C5" i="6"/>
  <c r="B5" i="6"/>
  <c r="C2" i="2"/>
  <c r="P7" i="2"/>
  <c r="I14" i="13"/>
  <c r="J14" i="13" s="1"/>
  <c r="I18" i="13"/>
  <c r="J18" i="13" s="1"/>
  <c r="I30" i="13"/>
  <c r="J30" i="13" s="1"/>
  <c r="I34" i="13"/>
  <c r="J34" i="13" s="1"/>
  <c r="H14" i="13"/>
  <c r="H15" i="13"/>
  <c r="I15" i="13" s="1"/>
  <c r="J15" i="13" s="1"/>
  <c r="H16" i="13"/>
  <c r="I16" i="13" s="1"/>
  <c r="J16" i="13" s="1"/>
  <c r="H17" i="13"/>
  <c r="I17" i="13" s="1"/>
  <c r="J17" i="13" s="1"/>
  <c r="H18" i="13"/>
  <c r="H19" i="13"/>
  <c r="I19" i="13" s="1"/>
  <c r="J19" i="13" s="1"/>
  <c r="H20" i="13"/>
  <c r="I20" i="13" s="1"/>
  <c r="J20" i="13" s="1"/>
  <c r="H21" i="13"/>
  <c r="I21" i="13" s="1"/>
  <c r="J21" i="13" s="1"/>
  <c r="H22" i="13"/>
  <c r="I22" i="13" s="1"/>
  <c r="J22" i="13" s="1"/>
  <c r="H23" i="13"/>
  <c r="I23" i="13" s="1"/>
  <c r="J23" i="13" s="1"/>
  <c r="H24" i="13"/>
  <c r="I24" i="13" s="1"/>
  <c r="J24" i="13" s="1"/>
  <c r="H25" i="13"/>
  <c r="I25" i="13" s="1"/>
  <c r="J25" i="13" s="1"/>
  <c r="H26" i="13"/>
  <c r="I26" i="13" s="1"/>
  <c r="J26" i="13" s="1"/>
  <c r="H27" i="13"/>
  <c r="I27" i="13" s="1"/>
  <c r="J27" i="13" s="1"/>
  <c r="H28" i="13"/>
  <c r="I28" i="13" s="1"/>
  <c r="J28" i="13" s="1"/>
  <c r="H29" i="13"/>
  <c r="I29" i="13" s="1"/>
  <c r="J29" i="13" s="1"/>
  <c r="H30" i="13"/>
  <c r="H31" i="13"/>
  <c r="I31" i="13" s="1"/>
  <c r="J31" i="13" s="1"/>
  <c r="H32" i="13"/>
  <c r="I32" i="13" s="1"/>
  <c r="J32" i="13" s="1"/>
  <c r="H33" i="13"/>
  <c r="I33" i="13" s="1"/>
  <c r="J33" i="13" s="1"/>
  <c r="H34" i="13"/>
  <c r="H13" i="13"/>
  <c r="I13" i="13" s="1"/>
  <c r="J13" i="13" s="1"/>
  <c r="H12" i="13"/>
  <c r="I12" i="13" s="1"/>
  <c r="J12" i="13" l="1"/>
  <c r="K12" i="13" a="1"/>
  <c r="K12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<sst xmlns="http://schemas.openxmlformats.org/spreadsheetml/2006/main" count="621" uniqueCount="151">
  <si>
    <t>Date</t>
  </si>
  <si>
    <t>A</t>
  </si>
  <si>
    <t>b</t>
  </si>
  <si>
    <t>c</t>
  </si>
  <si>
    <t>d</t>
  </si>
  <si>
    <t>e</t>
  </si>
  <si>
    <t>f</t>
  </si>
  <si>
    <t>g</t>
  </si>
  <si>
    <t>h</t>
  </si>
  <si>
    <t>Items</t>
  </si>
  <si>
    <t>AA</t>
  </si>
  <si>
    <t>BB</t>
  </si>
  <si>
    <t>CC</t>
  </si>
  <si>
    <t>DD</t>
  </si>
  <si>
    <t>DDD</t>
  </si>
  <si>
    <t>EEE</t>
  </si>
  <si>
    <t>E</t>
  </si>
  <si>
    <t>EEEE</t>
  </si>
  <si>
    <t>KK</t>
  </si>
  <si>
    <t>TT</t>
  </si>
  <si>
    <t>AAAA</t>
  </si>
  <si>
    <t>DASD</t>
  </si>
  <si>
    <t>DAS</t>
  </si>
  <si>
    <t>DS</t>
  </si>
  <si>
    <t>SS</t>
  </si>
  <si>
    <t>DSA</t>
  </si>
  <si>
    <t>SA</t>
  </si>
  <si>
    <t>EE</t>
  </si>
  <si>
    <t>WEW</t>
  </si>
  <si>
    <t>Item</t>
  </si>
  <si>
    <t>NAME</t>
  </si>
  <si>
    <t>FIRST NAME</t>
  </si>
  <si>
    <t>LAST NAME</t>
  </si>
  <si>
    <t>MID NAME</t>
  </si>
  <si>
    <t>LENGTH</t>
  </si>
  <si>
    <t>FIRST SPACE POSITION</t>
  </si>
  <si>
    <t>SECOND SPACE POSITION</t>
  </si>
  <si>
    <t>SUBSTITUTE SPACE BY -</t>
  </si>
  <si>
    <t>NO. OF SPACES</t>
  </si>
  <si>
    <t>Rohit Gupta</t>
  </si>
  <si>
    <t>Sanjeev kumar</t>
  </si>
  <si>
    <t>Rohit Kumar Gupta</t>
  </si>
  <si>
    <t>Naveen Chauhan Singh</t>
  </si>
  <si>
    <t>Arti Singh Chauhan</t>
  </si>
  <si>
    <t>Rohit Arora Man</t>
  </si>
  <si>
    <t>Rahul badhe verma</t>
  </si>
  <si>
    <t>Efficiency</t>
  </si>
  <si>
    <t>Vikas Sharma</t>
  </si>
  <si>
    <t>Sachin</t>
  </si>
  <si>
    <t>Rohit</t>
  </si>
  <si>
    <t>Rating</t>
  </si>
  <si>
    <t>Broad</t>
  </si>
  <si>
    <t>Gilchrist</t>
  </si>
  <si>
    <t>Symonds</t>
  </si>
  <si>
    <t>Pollard</t>
  </si>
  <si>
    <t>Mccullum</t>
  </si>
  <si>
    <t>Chris Gayle</t>
  </si>
  <si>
    <t>Morne MorkHD</t>
  </si>
  <si>
    <t>S Shreesanth</t>
  </si>
  <si>
    <t>Harbhajan</t>
  </si>
  <si>
    <t>R.P Singh</t>
  </si>
  <si>
    <t>Naman Ojha</t>
  </si>
  <si>
    <t>Manish Pandey</t>
  </si>
  <si>
    <t>Shikhar Dhawan</t>
  </si>
  <si>
    <t>Warner</t>
  </si>
  <si>
    <t>Jacobbs</t>
  </si>
  <si>
    <t>Shawn Marce</t>
  </si>
  <si>
    <t>Zaheer Khan</t>
  </si>
  <si>
    <t>Ishant Sharma</t>
  </si>
  <si>
    <t>Munaf Patel</t>
  </si>
  <si>
    <t>Bollinger</t>
  </si>
  <si>
    <t>D</t>
  </si>
  <si>
    <t>Roll No.</t>
  </si>
  <si>
    <t>Student Name</t>
  </si>
  <si>
    <t>Eng</t>
  </si>
  <si>
    <t>Hindi</t>
  </si>
  <si>
    <t>Maths</t>
  </si>
  <si>
    <t>Science</t>
  </si>
  <si>
    <t>Social Studies</t>
  </si>
  <si>
    <t>Total Marks</t>
  </si>
  <si>
    <t>Percentage</t>
  </si>
  <si>
    <t>Grade</t>
  </si>
  <si>
    <t>Pass/Fail</t>
  </si>
  <si>
    <t>Calculate total marks, Percentage, Grade as per the slab and the student is pass or fail</t>
  </si>
  <si>
    <t>Slab</t>
  </si>
  <si>
    <t>&gt;33%</t>
  </si>
  <si>
    <t>C</t>
  </si>
  <si>
    <t>&gt;33.01% and &lt;=45%</t>
  </si>
  <si>
    <t>B+</t>
  </si>
  <si>
    <t>&gt;=45.01% and &lt;=60%</t>
  </si>
  <si>
    <t>B</t>
  </si>
  <si>
    <t>&gt;=60.01% and &lt;=80%</t>
  </si>
  <si>
    <t>&gt;=80.01%</t>
  </si>
  <si>
    <t>A+</t>
  </si>
  <si>
    <t>Pass if Marks is greater than Equal to 33%</t>
  </si>
  <si>
    <t>Fail if Marks is less than 33%</t>
  </si>
  <si>
    <t>Q-1. count the two digit no.s from the given data</t>
  </si>
  <si>
    <t>Ans:</t>
  </si>
  <si>
    <t>Q-2. Count the no. of text strings who's length is 2</t>
  </si>
  <si>
    <t>APG</t>
  </si>
  <si>
    <t>KA</t>
  </si>
  <si>
    <t>MU</t>
  </si>
  <si>
    <t>PP</t>
  </si>
  <si>
    <t>POP</t>
  </si>
  <si>
    <t>BOB</t>
  </si>
  <si>
    <t>DU</t>
  </si>
  <si>
    <t>PEL</t>
  </si>
  <si>
    <t>GEL</t>
  </si>
  <si>
    <t>Q-3. Overview of when to use SUMIF and COUNTIF functions in Excel.</t>
  </si>
  <si>
    <t>Q-3(B). Find the length of above text string without space?</t>
  </si>
  <si>
    <t>Month</t>
  </si>
  <si>
    <t xml:space="preserve">Q-4(B).Count the no of item which is equal to "A"  for the year 2011 </t>
  </si>
  <si>
    <t>Year</t>
  </si>
  <si>
    <t>Formula</t>
  </si>
  <si>
    <t>Q-5. Using text function change the format of dates according to the row no 4</t>
  </si>
  <si>
    <t>Q-4(A). Count the no. of Items as per the month according to the given validation in C3</t>
  </si>
  <si>
    <t>Q-10. Below is Student Data in that do calculation then assign Grade and Pass/Fail status as per below given conditions.</t>
  </si>
  <si>
    <t>Q-6. Find the following according to the above fields?</t>
  </si>
  <si>
    <t>Text String</t>
  </si>
  <si>
    <t>Name</t>
  </si>
  <si>
    <t>Output</t>
  </si>
  <si>
    <t>rohit,,,sunny,sunita,rohit,,,////(((alka,rohit</t>
  </si>
  <si>
    <t>rohit</t>
  </si>
  <si>
    <t>Deepak!!!pankaj@@@@pankaj@@@@rohit</t>
  </si>
  <si>
    <t>pankaj</t>
  </si>
  <si>
    <t>ajay,ajay,anil,ajay,ajay&amp;&amp;&amp;pankaj</t>
  </si>
  <si>
    <t>ajay</t>
  </si>
  <si>
    <t>Q-7. Count the no. of times name appearing in a Cell</t>
  </si>
  <si>
    <t>Sr No.</t>
  </si>
  <si>
    <t>M</t>
  </si>
  <si>
    <t>agarwal,priyank</t>
  </si>
  <si>
    <t>shukla,virit</t>
  </si>
  <si>
    <t>F</t>
  </si>
  <si>
    <t>kaur,daljeet</t>
  </si>
  <si>
    <t>malhotra,neha</t>
  </si>
  <si>
    <t>negi,chandan</t>
  </si>
  <si>
    <t>gupta,bharti</t>
  </si>
  <si>
    <t>Mr./Mrs. First Name_Last Name</t>
  </si>
  <si>
    <t>Gender</t>
  </si>
  <si>
    <t>Q-8. Display the full name in the output box with the correct prefix (Mr./Mrs. based on gender), followed by the First_Name, a space, and then the Last_Name.</t>
  </si>
  <si>
    <t>Sr. No</t>
  </si>
  <si>
    <t>Rohit.Gupta.Checkno.123456</t>
  </si>
  <si>
    <t>tilakraj.checkno.000789</t>
  </si>
  <si>
    <t>rahuldated12/05/2015checkno.123456</t>
  </si>
  <si>
    <t>sardeep.checkno.12345</t>
  </si>
  <si>
    <t>Cheque No.</t>
  </si>
  <si>
    <t>Description</t>
  </si>
  <si>
    <t>Q-9. Find out the cheque no. from the data</t>
  </si>
  <si>
    <t>Q-3(A).</t>
  </si>
  <si>
    <t xml:space="preserve"> find the no.of spaces from the above text string?</t>
  </si>
  <si>
    <t xml:space="preserve"> Find the length of above text string without space?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</si>
</sst>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[$-409]dddd\,\ mmmm\ dd\,\ yyyy"/>
    <numFmt numFmtId="165" formatCode="[$-F800]dddd\,\ mmmm\ dd\,\ yyyy"/>
    <numFmt numFmtId="166" formatCode="m/d;@"/>
    <numFmt numFmtId="167" formatCode="[$-409]mmmm\-yy;@"/>
    <numFmt numFmtId="168" formatCode="[$-409]d\-mmm;@"/>
    <numFmt numFmtId="169" formatCode="[$-409]d\-mmm\-yy;@"/>
    <numFmt numFmtId="170" formatCode="[$-409]m/d/yy\ h:mm\ AM/PM;@"/>
    <numFmt numFmtId="171" formatCode="dd\-mm\-yy"/>
    <numFmt numFmtId="172" formatCode="[$-14009]dd\-mm\-yyyy;@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</fills>
  <borders count="6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theme="1" tint="0.34998626667073579"/>
      </top>
      <bottom style="thick">
        <color theme="0"/>
      </bottom>
      <diagonal/>
    </border>
    <border>
      <left/>
      <right/>
      <top/>
      <bottom style="thick">
        <color theme="0"/>
      </bottom>
      <diagonal/>
    </border>
    <border>
      <left/>
      <right style="thick">
        <color theme="0"/>
      </right>
      <top style="medium">
        <color theme="1" tint="0.34998626667073579"/>
      </top>
      <bottom/>
      <diagonal/>
    </border>
    <border>
      <left style="medium">
        <color theme="1" tint="0.34998626667073579"/>
      </left>
      <right/>
      <top style="medium">
        <color theme="1" tint="0.34998626667073579"/>
      </top>
      <bottom style="thick">
        <color theme="0"/>
      </bottom>
      <diagonal/>
    </border>
    <border>
      <left style="medium">
        <color theme="1" tint="0.34998626667073579"/>
      </left>
      <right/>
      <top style="thin">
        <color indexed="64"/>
      </top>
      <bottom style="thin">
        <color indexed="64"/>
      </bottom>
      <diagonal/>
    </border>
    <border>
      <left style="medium">
        <color theme="1" tint="0.34998626667073579"/>
      </left>
      <right style="thick">
        <color theme="1"/>
      </right>
      <top style="thin">
        <color indexed="64"/>
      </top>
      <bottom style="thin">
        <color indexed="64"/>
      </bottom>
      <diagonal/>
    </border>
    <border>
      <left/>
      <right/>
      <top style="thick">
        <color theme="1"/>
      </top>
      <bottom/>
      <diagonal/>
    </border>
    <border>
      <left style="medium">
        <color theme="1" tint="0.34998626667073579"/>
      </left>
      <right/>
      <top style="thin">
        <color indexed="64"/>
      </top>
      <bottom/>
      <diagonal/>
    </border>
    <border>
      <left style="thick">
        <color theme="1"/>
      </left>
      <right/>
      <top style="thin">
        <color indexed="64"/>
      </top>
      <bottom style="thin">
        <color indexed="64"/>
      </bottom>
      <diagonal/>
    </border>
    <border>
      <left style="thick">
        <color theme="1"/>
      </left>
      <right style="thick">
        <color theme="1"/>
      </right>
      <top style="thin">
        <color indexed="64"/>
      </top>
      <bottom style="thin">
        <color indexed="64"/>
      </bottom>
      <diagonal/>
    </border>
    <border>
      <left/>
      <right/>
      <top style="thick">
        <color theme="0"/>
      </top>
      <bottom style="thick">
        <color theme="1"/>
      </bottom>
      <diagonal/>
    </border>
    <border>
      <left style="thick">
        <color theme="1"/>
      </left>
      <right style="thick">
        <color theme="1"/>
      </right>
      <top/>
      <bottom style="thin">
        <color indexed="64"/>
      </bottom>
      <diagonal/>
    </border>
    <border>
      <left style="thick">
        <color theme="1"/>
      </left>
      <right/>
      <top style="thin">
        <color indexed="64"/>
      </top>
      <bottom style="thick">
        <color theme="1"/>
      </bottom>
      <diagonal/>
    </border>
    <border>
      <left style="thick">
        <color theme="1"/>
      </left>
      <right/>
      <top/>
      <bottom/>
      <diagonal/>
    </border>
    <border>
      <left style="thick">
        <color theme="1"/>
      </left>
      <right style="thick">
        <color theme="1"/>
      </right>
      <top style="thin">
        <color indexed="64"/>
      </top>
      <bottom style="thick">
        <color theme="1"/>
      </bottom>
      <diagonal/>
    </border>
    <border>
      <left style="medium">
        <color theme="1" tint="0.34998626667073579"/>
      </left>
      <right/>
      <top style="thick">
        <color theme="1"/>
      </top>
      <bottom/>
      <diagonal/>
    </border>
    <border>
      <left style="medium">
        <color theme="1" tint="0.34998626667073579"/>
      </left>
      <right style="thick">
        <color theme="1"/>
      </right>
      <top style="thick">
        <color theme="1"/>
      </top>
      <bottom style="thin">
        <color indexed="64"/>
      </bottom>
      <diagonal/>
    </border>
    <border>
      <left style="thick">
        <color theme="1"/>
      </left>
      <right style="thick">
        <color theme="1"/>
      </right>
      <top style="thick">
        <color theme="1"/>
      </top>
      <bottom style="thin">
        <color indexed="64"/>
      </bottom>
      <diagonal/>
    </border>
    <border>
      <left/>
      <right/>
      <top style="thick">
        <color theme="1"/>
      </top>
      <bottom style="thick">
        <color theme="1"/>
      </bottom>
      <diagonal/>
    </border>
    <border>
      <left/>
      <right style="thick">
        <color theme="1"/>
      </right>
      <top style="thick">
        <color theme="1"/>
      </top>
      <bottom/>
      <diagonal/>
    </border>
    <border>
      <left/>
      <right/>
      <top/>
      <bottom style="thick">
        <color theme="1"/>
      </bottom>
      <diagonal/>
    </border>
    <border>
      <left/>
      <right style="thick">
        <color theme="1"/>
      </right>
      <top/>
      <bottom/>
      <diagonal/>
    </border>
    <border>
      <left style="thick">
        <color theme="1"/>
      </left>
      <right style="thin">
        <color indexed="64"/>
      </right>
      <top/>
      <bottom/>
      <diagonal/>
    </border>
    <border>
      <left style="medium">
        <color indexed="64"/>
      </left>
      <right/>
      <top style="thick">
        <color theme="1"/>
      </top>
      <bottom/>
      <diagonal/>
    </border>
    <border>
      <left style="medium">
        <color theme="1" tint="0.34998626667073579"/>
      </left>
      <right style="thick">
        <color theme="1"/>
      </right>
      <top style="thick">
        <color theme="1"/>
      </top>
      <bottom/>
      <diagonal/>
    </border>
    <border>
      <left style="medium">
        <color theme="1" tint="0.34998626667073579"/>
      </left>
      <right style="thick">
        <color theme="1"/>
      </right>
      <top/>
      <bottom style="thick">
        <color theme="1"/>
      </bottom>
      <diagonal/>
    </border>
    <border>
      <left style="thick">
        <color theme="1"/>
      </left>
      <right/>
      <top style="thick">
        <color theme="1"/>
      </top>
      <bottom/>
      <diagonal/>
    </border>
    <border>
      <left/>
      <right style="thick">
        <color theme="1"/>
      </right>
      <top style="thick">
        <color theme="1"/>
      </top>
      <bottom style="thick">
        <color theme="1"/>
      </bottom>
      <diagonal/>
    </border>
    <border>
      <left style="thick">
        <color theme="1"/>
      </left>
      <right/>
      <top style="thick">
        <color theme="1"/>
      </top>
      <bottom style="thick">
        <color theme="1"/>
      </bottom>
      <diagonal/>
    </border>
    <border>
      <left/>
      <right/>
      <top style="thick">
        <color theme="1"/>
      </top>
      <bottom style="medium">
        <color indexed="64"/>
      </bottom>
      <diagonal/>
    </border>
    <border>
      <left/>
      <right/>
      <top style="medium">
        <color indexed="64"/>
      </top>
      <bottom style="thick">
        <color theme="1"/>
      </bottom>
      <diagonal/>
    </border>
    <border>
      <left style="thick">
        <color theme="1"/>
      </left>
      <right style="thick">
        <color theme="1"/>
      </right>
      <top style="thick">
        <color theme="1"/>
      </top>
      <bottom style="thick">
        <color theme="1"/>
      </bottom>
      <diagonal/>
    </border>
    <border>
      <left style="medium">
        <color indexed="64"/>
      </left>
      <right/>
      <top style="medium">
        <color indexed="64"/>
      </top>
      <bottom style="thick">
        <color theme="1"/>
      </bottom>
      <diagonal/>
    </border>
    <border>
      <left style="medium">
        <color indexed="64"/>
      </left>
      <right/>
      <top style="thick">
        <color theme="1"/>
      </top>
      <bottom style="thick">
        <color theme="1"/>
      </bottom>
      <diagonal/>
    </border>
    <border>
      <left/>
      <right style="thick">
        <color theme="1"/>
      </right>
      <top style="medium">
        <color indexed="64"/>
      </top>
      <bottom style="thick">
        <color theme="1"/>
      </bottom>
      <diagonal/>
    </border>
    <border>
      <left/>
      <right style="thick">
        <color theme="1"/>
      </right>
      <top style="medium">
        <color indexed="64"/>
      </top>
      <bottom/>
      <diagonal/>
    </border>
    <border>
      <left style="medium">
        <color theme="0"/>
      </left>
      <right style="thick">
        <color theme="1"/>
      </right>
      <top style="thick">
        <color theme="1"/>
      </top>
      <bottom style="thick">
        <color theme="1"/>
      </bottom>
      <diagonal/>
    </border>
    <border>
      <left style="medium">
        <color indexed="64"/>
      </left>
      <right style="thick">
        <color theme="1"/>
      </right>
      <top style="thin">
        <color indexed="64"/>
      </top>
      <bottom style="thin">
        <color indexed="64"/>
      </bottom>
      <diagonal/>
    </border>
    <border>
      <left style="thick">
        <color theme="1"/>
      </left>
      <right/>
      <top/>
      <bottom style="thin">
        <color indexed="64"/>
      </bottom>
      <diagonal/>
    </border>
    <border>
      <left style="medium">
        <color indexed="64"/>
      </left>
      <right style="thick">
        <color theme="1"/>
      </right>
      <top style="thin">
        <color indexed="64"/>
      </top>
      <bottom style="thick">
        <color theme="1"/>
      </bottom>
      <diagonal/>
    </border>
    <border>
      <left style="medium">
        <color indexed="64"/>
      </left>
      <right style="thick">
        <color theme="1"/>
      </right>
      <top style="thick">
        <color theme="1"/>
      </top>
      <bottom style="thick">
        <color theme="1"/>
      </bottom>
      <diagonal/>
    </border>
    <border>
      <left style="medium">
        <color theme="1" tint="0.34998626667073579"/>
      </left>
      <right/>
      <top style="thick">
        <color theme="1"/>
      </top>
      <bottom style="thick">
        <color theme="1"/>
      </bottom>
      <diagonal/>
    </border>
    <border>
      <left/>
      <right/>
      <top style="thin">
        <color indexed="64"/>
      </top>
      <bottom style="thick">
        <color theme="1"/>
      </bottom>
      <diagonal/>
    </border>
    <border>
      <left/>
      <right style="thick">
        <color theme="1"/>
      </right>
      <top/>
      <bottom style="thick">
        <color theme="1"/>
      </bottom>
      <diagonal/>
    </border>
    <border>
      <left style="thin">
        <color indexed="64"/>
      </left>
      <right style="thick">
        <color theme="1"/>
      </right>
      <top style="thick">
        <color theme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theme="1"/>
      </left>
      <right style="thick">
        <color theme="1"/>
      </right>
      <top style="thick">
        <color theme="1"/>
      </top>
      <bottom/>
      <diagonal/>
    </border>
    <border>
      <left style="thick">
        <color theme="1"/>
      </left>
      <right style="thick">
        <color theme="1"/>
      </right>
      <top/>
      <bottom/>
      <diagonal/>
    </border>
    <border>
      <left/>
      <right/>
      <top style="thick">
        <color theme="1"/>
      </top>
      <bottom style="thin">
        <color indexed="64"/>
      </bottom>
      <diagonal/>
    </border>
    <border>
      <left/>
      <right style="thick">
        <color theme="1"/>
      </right>
      <top style="thin">
        <color indexed="64"/>
      </top>
      <bottom style="thick">
        <color theme="1"/>
      </bottom>
      <diagonal/>
    </border>
    <border>
      <left/>
      <right style="thick">
        <color theme="1"/>
      </right>
      <top style="thin">
        <color indexed="64"/>
      </top>
      <bottom style="thin">
        <color indexed="64"/>
      </bottom>
      <diagonal/>
    </border>
    <border>
      <left style="thick">
        <color theme="1"/>
      </left>
      <right/>
      <top style="thick">
        <color theme="1"/>
      </top>
      <bottom style="thin">
        <color indexed="64"/>
      </bottom>
      <diagonal/>
    </border>
    <border>
      <left/>
      <right style="thick">
        <color theme="1"/>
      </right>
      <top style="thick">
        <color theme="1"/>
      </top>
      <bottom style="thin">
        <color indexed="64"/>
      </bottom>
      <diagonal/>
    </border>
    <border>
      <left style="thick">
        <color theme="1"/>
      </left>
      <right/>
      <top/>
      <bottom style="thick">
        <color theme="1"/>
      </bottom>
      <diagonal/>
    </border>
    <border>
      <left style="thin">
        <color indexed="64"/>
      </left>
      <right/>
      <top style="thin">
        <color indexed="64"/>
      </top>
      <bottom style="thick">
        <color theme="1"/>
      </bottom>
      <diagonal/>
    </border>
    <border>
      <left style="thin">
        <color indexed="64"/>
      </left>
      <right/>
      <top style="thick">
        <color theme="1"/>
      </top>
      <bottom style="thick">
        <color theme="1"/>
      </bottom>
      <diagonal/>
    </border>
    <border>
      <left style="thin">
        <color indexed="64"/>
      </left>
      <right/>
      <top style="thick">
        <color theme="1"/>
      </top>
      <bottom/>
      <diagonal/>
    </border>
    <border>
      <left/>
      <right style="medium">
        <color theme="1" tint="0.34998626667073579"/>
      </right>
      <top style="thick">
        <color theme="1"/>
      </top>
      <bottom style="thick">
        <color theme="1"/>
      </bottom>
      <diagonal/>
    </border>
  </borders>
  <cellStyleXfs count="1">
    <xf numFmtId="0" fontId="0" fillId="0" borderId="0"/>
  </cellStyleXfs>
  <cellXfs count="216">
    <xf numFmtId="0" fontId="0" fillId="0" borderId="0" xfId="0"/>
    <xf numFmtId="14" fontId="0" fillId="0" borderId="0" xfId="0" applyNumberFormat="1"/>
    <xf numFmtId="171" fontId="0" fillId="0" borderId="0" xfId="0" applyNumberFormat="1"/>
    <xf numFmtId="0" fontId="0" fillId="0" borderId="0" xfId="0" applyAlignment="1">
      <alignment horizontal="left"/>
    </xf>
    <xf numFmtId="0" fontId="3" fillId="0" borderId="0" xfId="0" applyFont="1"/>
    <xf numFmtId="0" fontId="8" fillId="0" borderId="0" xfId="0" applyFont="1"/>
    <xf numFmtId="0" fontId="6" fillId="2" borderId="0" xfId="0" applyFont="1" applyFill="1"/>
    <xf numFmtId="0" fontId="3" fillId="0" borderId="8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7" fillId="3" borderId="8" xfId="0" applyFont="1" applyFill="1" applyBorder="1"/>
    <xf numFmtId="0" fontId="7" fillId="3" borderId="0" xfId="0" applyFont="1" applyFill="1"/>
    <xf numFmtId="0" fontId="7" fillId="3" borderId="5" xfId="0" applyFont="1" applyFill="1" applyBorder="1"/>
    <xf numFmtId="0" fontId="7" fillId="3" borderId="6" xfId="0" applyFont="1" applyFill="1" applyBorder="1"/>
    <xf numFmtId="0" fontId="7" fillId="3" borderId="7" xfId="0" applyFont="1" applyFill="1" applyBorder="1"/>
    <xf numFmtId="0" fontId="4" fillId="3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14" fontId="3" fillId="0" borderId="1" xfId="0" applyNumberFormat="1" applyFont="1" applyBorder="1" applyAlignment="1">
      <alignment horizontal="center"/>
    </xf>
    <xf numFmtId="0" fontId="0" fillId="5" borderId="0" xfId="0" applyFill="1"/>
    <xf numFmtId="171" fontId="0" fillId="0" borderId="10" xfId="0" applyNumberFormat="1" applyBorder="1"/>
    <xf numFmtId="0" fontId="7" fillId="3" borderId="11" xfId="0" applyFont="1" applyFill="1" applyBorder="1"/>
    <xf numFmtId="0" fontId="7" fillId="3" borderId="9" xfId="0" applyFont="1" applyFill="1" applyBorder="1"/>
    <xf numFmtId="0" fontId="7" fillId="3" borderId="12" xfId="0" applyFont="1" applyFill="1" applyBorder="1"/>
    <xf numFmtId="0" fontId="0" fillId="0" borderId="15" xfId="0" applyBorder="1"/>
    <xf numFmtId="0" fontId="0" fillId="0" borderId="19" xfId="0" applyBorder="1"/>
    <xf numFmtId="0" fontId="0" fillId="0" borderId="19" xfId="0" applyBorder="1" applyAlignment="1">
      <alignment horizontal="left"/>
    </xf>
    <xf numFmtId="0" fontId="0" fillId="0" borderId="22" xfId="0" applyBorder="1"/>
    <xf numFmtId="0" fontId="6" fillId="2" borderId="24" xfId="0" applyFont="1" applyFill="1" applyBorder="1"/>
    <xf numFmtId="0" fontId="6" fillId="2" borderId="27" xfId="0" applyFont="1" applyFill="1" applyBorder="1"/>
    <xf numFmtId="0" fontId="6" fillId="2" borderId="15" xfId="0" applyFont="1" applyFill="1" applyBorder="1"/>
    <xf numFmtId="0" fontId="6" fillId="2" borderId="28" xfId="0" applyFont="1" applyFill="1" applyBorder="1"/>
    <xf numFmtId="0" fontId="0" fillId="0" borderId="29" xfId="0" applyBorder="1"/>
    <xf numFmtId="170" fontId="8" fillId="0" borderId="25" xfId="0" applyNumberFormat="1" applyFont="1" applyBorder="1" applyAlignment="1">
      <alignment horizontal="center"/>
    </xf>
    <xf numFmtId="165" fontId="8" fillId="2" borderId="26" xfId="0" applyNumberFormat="1" applyFont="1" applyFill="1" applyBorder="1" applyAlignment="1">
      <alignment horizontal="center"/>
    </xf>
    <xf numFmtId="165" fontId="8" fillId="2" borderId="20" xfId="0" applyNumberFormat="1" applyFont="1" applyFill="1" applyBorder="1" applyAlignment="1">
      <alignment horizontal="center"/>
    </xf>
    <xf numFmtId="170" fontId="8" fillId="0" borderId="13" xfId="0" applyNumberFormat="1" applyFont="1" applyBorder="1" applyAlignment="1">
      <alignment horizontal="center"/>
    </xf>
    <xf numFmtId="170" fontId="8" fillId="0" borderId="14" xfId="0" applyNumberFormat="1" applyFont="1" applyBorder="1" applyAlignment="1">
      <alignment horizontal="center"/>
    </xf>
    <xf numFmtId="170" fontId="8" fillId="0" borderId="16" xfId="0" applyNumberFormat="1" applyFont="1" applyBorder="1" applyAlignment="1">
      <alignment horizontal="center"/>
    </xf>
    <xf numFmtId="0" fontId="0" fillId="0" borderId="31" xfId="0" applyBorder="1"/>
    <xf numFmtId="0" fontId="7" fillId="3" borderId="32" xfId="0" applyFont="1" applyFill="1" applyBorder="1"/>
    <xf numFmtId="0" fontId="7" fillId="3" borderId="15" xfId="0" applyFont="1" applyFill="1" applyBorder="1"/>
    <xf numFmtId="0" fontId="7" fillId="3" borderId="27" xfId="0" applyFont="1" applyFill="1" applyBorder="1"/>
    <xf numFmtId="0" fontId="6" fillId="2" borderId="27" xfId="0" applyFont="1" applyFill="1" applyBorder="1" applyAlignment="1">
      <alignment horizontal="center"/>
    </xf>
    <xf numFmtId="0" fontId="0" fillId="0" borderId="27" xfId="0" applyBorder="1"/>
    <xf numFmtId="0" fontId="7" fillId="3" borderId="29" xfId="0" applyFont="1" applyFill="1" applyBorder="1"/>
    <xf numFmtId="0" fontId="7" fillId="3" borderId="36" xfId="0" applyFont="1" applyFill="1" applyBorder="1"/>
    <xf numFmtId="0" fontId="6" fillId="2" borderId="37" xfId="0" applyFont="1" applyFill="1" applyBorder="1" applyAlignment="1">
      <alignment horizontal="center"/>
    </xf>
    <xf numFmtId="0" fontId="0" fillId="0" borderId="10" xfId="0" applyBorder="1"/>
    <xf numFmtId="0" fontId="6" fillId="2" borderId="32" xfId="0" applyFont="1" applyFill="1" applyBorder="1"/>
    <xf numFmtId="0" fontId="6" fillId="2" borderId="36" xfId="0" applyFont="1" applyFill="1" applyBorder="1"/>
    <xf numFmtId="0" fontId="0" fillId="0" borderId="38" xfId="0" applyBorder="1" applyAlignment="1">
      <alignment horizontal="left"/>
    </xf>
    <xf numFmtId="0" fontId="6" fillId="2" borderId="42" xfId="0" applyFont="1" applyFill="1" applyBorder="1"/>
    <xf numFmtId="0" fontId="0" fillId="0" borderId="27" xfId="0" applyBorder="1" applyAlignment="1">
      <alignment horizontal="left"/>
    </xf>
    <xf numFmtId="0" fontId="7" fillId="3" borderId="39" xfId="0" applyFont="1" applyFill="1" applyBorder="1"/>
    <xf numFmtId="0" fontId="0" fillId="0" borderId="29" xfId="0" applyBorder="1" applyAlignment="1">
      <alignment horizontal="left"/>
    </xf>
    <xf numFmtId="0" fontId="7" fillId="3" borderId="41" xfId="0" applyFont="1" applyFill="1" applyBorder="1"/>
    <xf numFmtId="0" fontId="7" fillId="3" borderId="43" xfId="0" applyFont="1" applyFill="1" applyBorder="1"/>
    <xf numFmtId="0" fontId="7" fillId="3" borderId="44" xfId="0" applyFont="1" applyFill="1" applyBorder="1"/>
    <xf numFmtId="0" fontId="0" fillId="0" borderId="15" xfId="0" applyBorder="1" applyAlignment="1">
      <alignment horizontal="left"/>
    </xf>
    <xf numFmtId="0" fontId="7" fillId="3" borderId="28" xfId="0" applyFont="1" applyFill="1" applyBorder="1"/>
    <xf numFmtId="0" fontId="6" fillId="2" borderId="29" xfId="0" applyFont="1" applyFill="1" applyBorder="1"/>
    <xf numFmtId="0" fontId="3" fillId="0" borderId="15" xfId="0" applyFont="1" applyBorder="1" applyAlignment="1">
      <alignment horizontal="center"/>
    </xf>
    <xf numFmtId="0" fontId="3" fillId="0" borderId="32" xfId="0" applyFont="1" applyBorder="1" applyAlignment="1">
      <alignment horizontal="center"/>
    </xf>
    <xf numFmtId="0" fontId="3" fillId="0" borderId="29" xfId="0" applyFont="1" applyBorder="1" applyAlignment="1">
      <alignment horizontal="center"/>
    </xf>
    <xf numFmtId="0" fontId="3" fillId="0" borderId="30" xfId="0" applyFont="1" applyBorder="1" applyAlignment="1">
      <alignment horizontal="center"/>
    </xf>
    <xf numFmtId="0" fontId="6" fillId="2" borderId="30" xfId="0" applyFont="1" applyFill="1" applyBorder="1"/>
    <xf numFmtId="0" fontId="6" fillId="2" borderId="40" xfId="0" applyFont="1" applyFill="1" applyBorder="1" applyAlignment="1">
      <alignment horizontal="center"/>
    </xf>
    <xf numFmtId="0" fontId="7" fillId="3" borderId="40" xfId="0" applyFont="1" applyFill="1" applyBorder="1" applyAlignment="1">
      <alignment horizontal="center"/>
    </xf>
    <xf numFmtId="0" fontId="7" fillId="3" borderId="15" xfId="0" applyFont="1" applyFill="1" applyBorder="1" applyAlignment="1">
      <alignment horizontal="center"/>
    </xf>
    <xf numFmtId="0" fontId="7" fillId="3" borderId="37" xfId="0" applyFont="1" applyFill="1" applyBorder="1"/>
    <xf numFmtId="0" fontId="7" fillId="3" borderId="27" xfId="0" applyFont="1" applyFill="1" applyBorder="1" applyAlignment="1">
      <alignment horizontal="center"/>
    </xf>
    <xf numFmtId="14" fontId="7" fillId="3" borderId="45" xfId="0" applyNumberFormat="1" applyFont="1" applyFill="1" applyBorder="1" applyAlignment="1">
      <alignment horizontal="center"/>
    </xf>
    <xf numFmtId="165" fontId="7" fillId="3" borderId="40" xfId="0" applyNumberFormat="1" applyFont="1" applyFill="1" applyBorder="1" applyAlignment="1">
      <alignment horizontal="center"/>
    </xf>
    <xf numFmtId="166" fontId="7" fillId="3" borderId="40" xfId="0" applyNumberFormat="1" applyFont="1" applyFill="1" applyBorder="1" applyAlignment="1">
      <alignment horizontal="center"/>
    </xf>
    <xf numFmtId="167" fontId="7" fillId="3" borderId="27" xfId="0" applyNumberFormat="1" applyFont="1" applyFill="1" applyBorder="1" applyAlignment="1">
      <alignment horizontal="center"/>
    </xf>
    <xf numFmtId="168" fontId="7" fillId="3" borderId="40" xfId="0" applyNumberFormat="1" applyFont="1" applyFill="1" applyBorder="1" applyAlignment="1">
      <alignment horizontal="center"/>
    </xf>
    <xf numFmtId="169" fontId="7" fillId="3" borderId="27" xfId="0" applyNumberFormat="1" applyFont="1" applyFill="1" applyBorder="1" applyAlignment="1">
      <alignment horizontal="center"/>
    </xf>
    <xf numFmtId="164" fontId="7" fillId="3" borderId="40" xfId="0" applyNumberFormat="1" applyFont="1" applyFill="1" applyBorder="1" applyAlignment="1">
      <alignment horizontal="center"/>
    </xf>
    <xf numFmtId="0" fontId="3" fillId="0" borderId="4" xfId="0" applyFont="1" applyBorder="1"/>
    <xf numFmtId="0" fontId="3" fillId="0" borderId="2" xfId="0" applyFont="1" applyBorder="1"/>
    <xf numFmtId="0" fontId="3" fillId="0" borderId="46" xfId="0" applyFont="1" applyBorder="1"/>
    <xf numFmtId="0" fontId="3" fillId="2" borderId="18" xfId="0" applyFont="1" applyFill="1" applyBorder="1"/>
    <xf numFmtId="0" fontId="3" fillId="2" borderId="47" xfId="0" applyFont="1" applyFill="1" applyBorder="1"/>
    <xf numFmtId="0" fontId="4" fillId="3" borderId="40" xfId="0" applyFont="1" applyFill="1" applyBorder="1" applyAlignment="1">
      <alignment horizontal="center"/>
    </xf>
    <xf numFmtId="0" fontId="3" fillId="0" borderId="48" xfId="0" applyFont="1" applyBorder="1"/>
    <xf numFmtId="0" fontId="4" fillId="3" borderId="49" xfId="0" applyFont="1" applyFill="1" applyBorder="1" applyAlignment="1">
      <alignment horizontal="center"/>
    </xf>
    <xf numFmtId="0" fontId="6" fillId="2" borderId="50" xfId="0" applyFont="1" applyFill="1" applyBorder="1"/>
    <xf numFmtId="0" fontId="7" fillId="5" borderId="0" xfId="0" applyFont="1" applyFill="1"/>
    <xf numFmtId="0" fontId="7" fillId="5" borderId="50" xfId="0" applyFont="1" applyFill="1" applyBorder="1"/>
    <xf numFmtId="0" fontId="7" fillId="3" borderId="50" xfId="0" applyFont="1" applyFill="1" applyBorder="1"/>
    <xf numFmtId="0" fontId="0" fillId="5" borderId="22" xfId="0" applyFill="1" applyBorder="1"/>
    <xf numFmtId="0" fontId="7" fillId="5" borderId="27" xfId="0" applyFont="1" applyFill="1" applyBorder="1"/>
    <xf numFmtId="0" fontId="7" fillId="5" borderId="15" xfId="0" applyFont="1" applyFill="1" applyBorder="1"/>
    <xf numFmtId="0" fontId="3" fillId="2" borderId="17" xfId="0" applyFont="1" applyFill="1" applyBorder="1"/>
    <xf numFmtId="0" fontId="3" fillId="2" borderId="26" xfId="0" applyFont="1" applyFill="1" applyBorder="1"/>
    <xf numFmtId="0" fontId="3" fillId="5" borderId="0" xfId="0" applyFont="1" applyFill="1"/>
    <xf numFmtId="0" fontId="3" fillId="0" borderId="22" xfId="0" applyFont="1" applyBorder="1"/>
    <xf numFmtId="0" fontId="3" fillId="4" borderId="15" xfId="0" applyFont="1" applyFill="1" applyBorder="1"/>
    <xf numFmtId="0" fontId="3" fillId="4" borderId="35" xfId="0" applyFont="1" applyFill="1" applyBorder="1"/>
    <xf numFmtId="0" fontId="7" fillId="3" borderId="55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/>
    </xf>
    <xf numFmtId="0" fontId="3" fillId="5" borderId="26" xfId="0" applyFont="1" applyFill="1" applyBorder="1" applyAlignment="1">
      <alignment horizontal="center"/>
    </xf>
    <xf numFmtId="0" fontId="3" fillId="5" borderId="18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5" borderId="17" xfId="0" applyFont="1" applyFill="1" applyBorder="1" applyAlignment="1">
      <alignment horizontal="center"/>
    </xf>
    <xf numFmtId="0" fontId="3" fillId="5" borderId="23" xfId="0" applyFont="1" applyFill="1" applyBorder="1" applyAlignment="1">
      <alignment horizontal="center"/>
    </xf>
    <xf numFmtId="0" fontId="3" fillId="2" borderId="26" xfId="0" applyFont="1" applyFill="1" applyBorder="1" applyAlignment="1">
      <alignment horizontal="center"/>
    </xf>
    <xf numFmtId="0" fontId="3" fillId="2" borderId="18" xfId="0" applyFont="1" applyFill="1" applyBorder="1" applyAlignment="1">
      <alignment horizontal="center"/>
    </xf>
    <xf numFmtId="0" fontId="3" fillId="2" borderId="23" xfId="0" applyFont="1" applyFill="1" applyBorder="1" applyAlignment="1">
      <alignment horizontal="center"/>
    </xf>
    <xf numFmtId="0" fontId="3" fillId="4" borderId="62" xfId="0" applyFont="1" applyFill="1" applyBorder="1"/>
    <xf numFmtId="0" fontId="7" fillId="5" borderId="56" xfId="0" applyFont="1" applyFill="1" applyBorder="1"/>
    <xf numFmtId="0" fontId="3" fillId="4" borderId="0" xfId="0" applyFont="1" applyFill="1"/>
    <xf numFmtId="0" fontId="3" fillId="4" borderId="30" xfId="0" applyFont="1" applyFill="1" applyBorder="1"/>
    <xf numFmtId="0" fontId="7" fillId="5" borderId="29" xfId="0" applyFont="1" applyFill="1" applyBorder="1"/>
    <xf numFmtId="0" fontId="10" fillId="0" borderId="54" xfId="0" applyFont="1" applyBorder="1" applyAlignment="1">
      <alignment horizontal="center"/>
    </xf>
    <xf numFmtId="0" fontId="10" fillId="0" borderId="63" xfId="0" applyFont="1" applyBorder="1" applyAlignment="1">
      <alignment horizontal="center"/>
    </xf>
    <xf numFmtId="0" fontId="10" fillId="0" borderId="53" xfId="0" applyFont="1" applyBorder="1" applyAlignment="1">
      <alignment horizontal="center"/>
    </xf>
    <xf numFmtId="0" fontId="7" fillId="3" borderId="31" xfId="0" applyFont="1" applyFill="1" applyBorder="1" applyAlignment="1">
      <alignment horizontal="center" vertical="center"/>
    </xf>
    <xf numFmtId="0" fontId="7" fillId="3" borderId="36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6" fillId="5" borderId="22" xfId="0" applyFont="1" applyFill="1" applyBorder="1" applyAlignment="1">
      <alignment horizontal="left" vertical="center" wrapText="1"/>
    </xf>
    <xf numFmtId="0" fontId="1" fillId="0" borderId="30" xfId="0" applyFont="1" applyBorder="1" applyAlignment="1">
      <alignment horizontal="center" vertical="center"/>
    </xf>
    <xf numFmtId="0" fontId="0" fillId="5" borderId="29" xfId="0" applyFill="1" applyBorder="1"/>
    <xf numFmtId="0" fontId="7" fillId="5" borderId="27" xfId="0" applyFont="1" applyFill="1" applyBorder="1" applyAlignment="1">
      <alignment horizontal="left" vertical="center" wrapText="1"/>
    </xf>
    <xf numFmtId="0" fontId="11" fillId="0" borderId="0" xfId="0" applyFont="1" applyAlignment="1">
      <alignment horizontal="center"/>
    </xf>
    <xf numFmtId="0" fontId="7" fillId="6" borderId="65" xfId="0" applyFont="1" applyFill="1" applyBorder="1" applyAlignment="1">
      <alignment horizontal="center" vertical="center"/>
    </xf>
    <xf numFmtId="0" fontId="11" fillId="0" borderId="15" xfId="0" applyFont="1" applyBorder="1" applyAlignment="1">
      <alignment horizontal="center"/>
    </xf>
    <xf numFmtId="10" fontId="7" fillId="5" borderId="0" xfId="0" applyNumberFormat="1" applyFont="1" applyFill="1"/>
    <xf numFmtId="10" fontId="3" fillId="2" borderId="26" xfId="0" applyNumberFormat="1" applyFont="1" applyFill="1" applyBorder="1" applyAlignment="1">
      <alignment horizontal="center"/>
    </xf>
    <xf numFmtId="172" fontId="0" fillId="0" borderId="0" xfId="0" applyNumberFormat="1"/>
    <xf numFmtId="0" fontId="6" fillId="2" borderId="37" xfId="0" applyFont="1" applyFill="1" applyBorder="1" applyAlignment="1">
      <alignment horizontal="center"/>
    </xf>
    <xf numFmtId="0" fontId="6" fillId="2" borderId="27" xfId="0" applyFont="1" applyFill="1" applyBorder="1" applyAlignment="1">
      <alignment horizontal="center"/>
    </xf>
    <xf numFmtId="0" fontId="6" fillId="2" borderId="36" xfId="0" applyFont="1" applyFill="1" applyBorder="1" applyAlignment="1">
      <alignment horizontal="center"/>
    </xf>
    <xf numFmtId="0" fontId="6" fillId="2" borderId="33" xfId="0" applyFont="1" applyFill="1" applyBorder="1" applyAlignment="1">
      <alignment horizontal="center" vertical="center"/>
    </xf>
    <xf numFmtId="0" fontId="6" fillId="2" borderId="34" xfId="0" applyFont="1" applyFill="1" applyBorder="1" applyAlignment="1">
      <alignment horizontal="center" vertical="center"/>
    </xf>
    <xf numFmtId="0" fontId="7" fillId="3" borderId="37" xfId="0" applyFont="1" applyFill="1" applyBorder="1" applyAlignment="1">
      <alignment horizontal="center"/>
    </xf>
    <xf numFmtId="0" fontId="7" fillId="3" borderId="27" xfId="0" applyFont="1" applyFill="1" applyBorder="1" applyAlignment="1">
      <alignment horizontal="center"/>
    </xf>
    <xf numFmtId="0" fontId="7" fillId="3" borderId="66" xfId="0" applyFont="1" applyFill="1" applyBorder="1" applyAlignment="1">
      <alignment horizontal="center"/>
    </xf>
    <xf numFmtId="0" fontId="7" fillId="3" borderId="36" xfId="0" applyFont="1" applyFill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52" xfId="0" applyFont="1" applyFill="1" applyBorder="1" applyAlignment="1">
      <alignment horizontal="center" vertical="center"/>
    </xf>
    <xf numFmtId="0" fontId="7" fillId="3" borderId="37" xfId="0" applyFont="1" applyFill="1" applyBorder="1" applyAlignment="1">
      <alignment horizontal="center" vertical="center"/>
    </xf>
    <xf numFmtId="0" fontId="7" fillId="3" borderId="27" xfId="0" applyFont="1" applyFill="1" applyBorder="1" applyAlignment="1">
      <alignment horizontal="center" vertical="center"/>
    </xf>
    <xf numFmtId="0" fontId="7" fillId="3" borderId="36" xfId="0" applyFont="1" applyFill="1" applyBorder="1" applyAlignment="1">
      <alignment horizontal="center" vertical="center"/>
    </xf>
    <xf numFmtId="0" fontId="10" fillId="2" borderId="35" xfId="0" applyFont="1" applyFill="1" applyBorder="1" applyAlignment="1">
      <alignment horizontal="center"/>
    </xf>
    <xf numFmtId="0" fontId="10" fillId="2" borderId="15" xfId="0" applyFont="1" applyFill="1" applyBorder="1" applyAlignment="1">
      <alignment horizontal="center"/>
    </xf>
    <xf numFmtId="0" fontId="10" fillId="2" borderId="28" xfId="0" applyFont="1" applyFill="1" applyBorder="1" applyAlignment="1">
      <alignment horizontal="center"/>
    </xf>
    <xf numFmtId="0" fontId="10" fillId="0" borderId="35" xfId="0" applyFont="1" applyBorder="1" applyAlignment="1">
      <alignment horizontal="center"/>
    </xf>
    <xf numFmtId="0" fontId="10" fillId="0" borderId="15" xfId="0" applyFont="1" applyBorder="1" applyAlignment="1">
      <alignment horizontal="center"/>
    </xf>
    <xf numFmtId="0" fontId="10" fillId="0" borderId="28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9" fillId="3" borderId="50" xfId="0" applyFont="1" applyFill="1" applyBorder="1" applyAlignment="1">
      <alignment horizontal="left" vertical="center"/>
    </xf>
    <xf numFmtId="0" fontId="9" fillId="3" borderId="27" xfId="0" applyFont="1" applyFill="1" applyBorder="1" applyAlignment="1">
      <alignment horizontal="left" vertical="center"/>
    </xf>
    <xf numFmtId="0" fontId="9" fillId="3" borderId="36" xfId="0" applyFont="1" applyFill="1" applyBorder="1" applyAlignment="1">
      <alignment horizontal="left" vertical="center"/>
    </xf>
    <xf numFmtId="0" fontId="7" fillId="3" borderId="64" xfId="0" applyFont="1" applyFill="1" applyBorder="1" applyAlignment="1">
      <alignment horizontal="center" vertical="center"/>
    </xf>
    <xf numFmtId="0" fontId="10" fillId="0" borderId="22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10" fillId="0" borderId="30" xfId="0" applyFont="1" applyBorder="1" applyAlignment="1">
      <alignment horizontal="left"/>
    </xf>
    <xf numFmtId="0" fontId="10" fillId="0" borderId="62" xfId="0" applyFont="1" applyBorder="1" applyAlignment="1">
      <alignment horizontal="left"/>
    </xf>
    <xf numFmtId="0" fontId="10" fillId="0" borderId="29" xfId="0" applyFont="1" applyBorder="1" applyAlignment="1">
      <alignment horizontal="left"/>
    </xf>
    <xf numFmtId="0" fontId="10" fillId="0" borderId="52" xfId="0" applyFont="1" applyBorder="1" applyAlignment="1">
      <alignment horizontal="left"/>
    </xf>
    <xf numFmtId="0" fontId="10" fillId="0" borderId="22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30" xfId="0" applyFont="1" applyBorder="1" applyAlignment="1">
      <alignment horizontal="center" vertical="center"/>
    </xf>
    <xf numFmtId="0" fontId="10" fillId="0" borderId="62" xfId="0" applyFont="1" applyBorder="1" applyAlignment="1">
      <alignment horizontal="center" vertical="center"/>
    </xf>
    <xf numFmtId="0" fontId="10" fillId="0" borderId="52" xfId="0" applyFont="1" applyBorder="1" applyAlignment="1">
      <alignment horizontal="center" vertical="center"/>
    </xf>
    <xf numFmtId="0" fontId="10" fillId="0" borderId="29" xfId="0" applyFont="1" applyBorder="1" applyAlignment="1">
      <alignment horizontal="center" vertical="center"/>
    </xf>
    <xf numFmtId="0" fontId="10" fillId="2" borderId="35" xfId="0" applyFont="1" applyFill="1" applyBorder="1" applyAlignment="1">
      <alignment horizontal="center" vertical="center"/>
    </xf>
    <xf numFmtId="0" fontId="10" fillId="2" borderId="15" xfId="0" applyFont="1" applyFill="1" applyBorder="1" applyAlignment="1">
      <alignment horizontal="center" vertical="center"/>
    </xf>
    <xf numFmtId="0" fontId="10" fillId="2" borderId="28" xfId="0" applyFont="1" applyFill="1" applyBorder="1" applyAlignment="1">
      <alignment horizontal="center" vertical="center"/>
    </xf>
    <xf numFmtId="0" fontId="7" fillId="3" borderId="35" xfId="0" applyFont="1" applyFill="1" applyBorder="1" applyAlignment="1">
      <alignment horizontal="center" vertical="center" wrapText="1"/>
    </xf>
    <xf numFmtId="0" fontId="7" fillId="3" borderId="15" xfId="0" applyFont="1" applyFill="1" applyBorder="1" applyAlignment="1">
      <alignment horizontal="center" vertical="center" wrapText="1"/>
    </xf>
    <xf numFmtId="0" fontId="7" fillId="3" borderId="28" xfId="0" applyFont="1" applyFill="1" applyBorder="1" applyAlignment="1">
      <alignment horizontal="center" vertical="center" wrapText="1"/>
    </xf>
    <xf numFmtId="0" fontId="7" fillId="3" borderId="62" xfId="0" applyFont="1" applyFill="1" applyBorder="1" applyAlignment="1">
      <alignment horizontal="center" vertical="center" wrapText="1"/>
    </xf>
    <xf numFmtId="0" fontId="7" fillId="3" borderId="29" xfId="0" applyFont="1" applyFill="1" applyBorder="1" applyAlignment="1">
      <alignment horizontal="center" vertical="center" wrapText="1"/>
    </xf>
    <xf numFmtId="0" fontId="7" fillId="3" borderId="52" xfId="0" applyFont="1" applyFill="1" applyBorder="1" applyAlignment="1">
      <alignment horizontal="center" vertical="center" wrapText="1"/>
    </xf>
    <xf numFmtId="0" fontId="6" fillId="2" borderId="15" xfId="0" applyFont="1" applyFill="1" applyBorder="1" applyAlignment="1">
      <alignment horizontal="left" vertical="center" wrapText="1"/>
    </xf>
    <xf numFmtId="0" fontId="6" fillId="2" borderId="28" xfId="0" applyFont="1" applyFill="1" applyBorder="1" applyAlignment="1">
      <alignment horizontal="left" vertical="center" wrapText="1"/>
    </xf>
    <xf numFmtId="0" fontId="10" fillId="0" borderId="35" xfId="0" applyFont="1" applyBorder="1" applyAlignment="1">
      <alignment horizontal="center" vertical="center"/>
    </xf>
    <xf numFmtId="0" fontId="10" fillId="0" borderId="28" xfId="0" applyFont="1" applyBorder="1" applyAlignment="1">
      <alignment horizontal="center" vertical="center"/>
    </xf>
    <xf numFmtId="0" fontId="10" fillId="0" borderId="15" xfId="0" applyFont="1" applyBorder="1" applyAlignment="1">
      <alignment horizontal="center" vertical="center"/>
    </xf>
    <xf numFmtId="0" fontId="6" fillId="2" borderId="15" xfId="0" applyFont="1" applyFill="1" applyBorder="1" applyAlignment="1">
      <alignment horizontal="left" vertical="center"/>
    </xf>
    <xf numFmtId="0" fontId="0" fillId="2" borderId="15" xfId="0" applyFill="1" applyBorder="1" applyAlignment="1">
      <alignment horizontal="left" vertical="center"/>
    </xf>
    <xf numFmtId="0" fontId="7" fillId="6" borderId="35" xfId="0" applyFont="1" applyFill="1" applyBorder="1" applyAlignment="1">
      <alignment horizontal="center" vertical="center"/>
    </xf>
    <xf numFmtId="0" fontId="7" fillId="6" borderId="28" xfId="0" applyFont="1" applyFill="1" applyBorder="1" applyAlignment="1">
      <alignment horizontal="center" vertical="center"/>
    </xf>
    <xf numFmtId="0" fontId="7" fillId="3" borderId="22" xfId="0" applyFont="1" applyFill="1" applyBorder="1" applyAlignment="1">
      <alignment horizontal="left" vertical="center"/>
    </xf>
    <xf numFmtId="0" fontId="7" fillId="3" borderId="0" xfId="0" applyFont="1" applyFill="1" applyAlignment="1">
      <alignment horizontal="left" vertical="center"/>
    </xf>
    <xf numFmtId="0" fontId="7" fillId="6" borderId="37" xfId="0" applyFont="1" applyFill="1" applyBorder="1" applyAlignment="1">
      <alignment horizontal="center" vertical="center"/>
    </xf>
    <xf numFmtId="0" fontId="7" fillId="6" borderId="27" xfId="0" applyFont="1" applyFill="1" applyBorder="1" applyAlignment="1">
      <alignment horizontal="center" vertical="center"/>
    </xf>
    <xf numFmtId="0" fontId="7" fillId="6" borderId="36" xfId="0" applyFont="1" applyFill="1" applyBorder="1" applyAlignment="1">
      <alignment horizontal="center" vertical="center"/>
    </xf>
    <xf numFmtId="0" fontId="10" fillId="0" borderId="35" xfId="0" applyFont="1" applyBorder="1" applyAlignment="1">
      <alignment horizontal="left"/>
    </xf>
    <xf numFmtId="0" fontId="10" fillId="0" borderId="15" xfId="0" applyFont="1" applyBorder="1" applyAlignment="1">
      <alignment horizontal="left"/>
    </xf>
    <xf numFmtId="0" fontId="10" fillId="0" borderId="28" xfId="0" applyFont="1" applyBorder="1" applyAlignment="1">
      <alignment horizontal="left"/>
    </xf>
    <xf numFmtId="0" fontId="3" fillId="0" borderId="21" xfId="0" applyFont="1" applyBorder="1" applyAlignment="1">
      <alignment horizontal="center"/>
    </xf>
    <xf numFmtId="0" fontId="3" fillId="0" borderId="51" xfId="0" applyFont="1" applyBorder="1" applyAlignment="1">
      <alignment horizontal="center"/>
    </xf>
    <xf numFmtId="0" fontId="3" fillId="0" borderId="58" xfId="0" applyFont="1" applyBorder="1" applyAlignment="1">
      <alignment horizontal="center"/>
    </xf>
    <xf numFmtId="0" fontId="2" fillId="4" borderId="37" xfId="0" applyFont="1" applyFill="1" applyBorder="1" applyAlignment="1">
      <alignment horizontal="center" wrapText="1"/>
    </xf>
    <xf numFmtId="0" fontId="2" fillId="4" borderId="27" xfId="0" applyFont="1" applyFill="1" applyBorder="1" applyAlignment="1">
      <alignment horizontal="center" wrapText="1"/>
    </xf>
    <xf numFmtId="0" fontId="2" fillId="4" borderId="36" xfId="0" applyFont="1" applyFill="1" applyBorder="1" applyAlignment="1">
      <alignment horizontal="center" wrapText="1"/>
    </xf>
    <xf numFmtId="0" fontId="3" fillId="0" borderId="17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59" xfId="0" applyFont="1" applyBorder="1" applyAlignment="1">
      <alignment horizontal="center"/>
    </xf>
    <xf numFmtId="0" fontId="5" fillId="4" borderId="35" xfId="0" applyFont="1" applyFill="1" applyBorder="1" applyAlignment="1">
      <alignment horizontal="left" wrapText="1"/>
    </xf>
    <xf numFmtId="0" fontId="5" fillId="4" borderId="15" xfId="0" applyFont="1" applyFill="1" applyBorder="1" applyAlignment="1">
      <alignment horizontal="left" wrapText="1"/>
    </xf>
    <xf numFmtId="0" fontId="5" fillId="4" borderId="28" xfId="0" applyFont="1" applyFill="1" applyBorder="1" applyAlignment="1">
      <alignment horizontal="left" wrapText="1"/>
    </xf>
    <xf numFmtId="0" fontId="5" fillId="4" borderId="62" xfId="0" applyFont="1" applyFill="1" applyBorder="1" applyAlignment="1">
      <alignment horizontal="left" wrapText="1"/>
    </xf>
    <xf numFmtId="0" fontId="5" fillId="4" borderId="29" xfId="0" applyFont="1" applyFill="1" applyBorder="1" applyAlignment="1">
      <alignment horizontal="left" wrapText="1"/>
    </xf>
    <xf numFmtId="0" fontId="5" fillId="4" borderId="52" xfId="0" applyFont="1" applyFill="1" applyBorder="1" applyAlignment="1">
      <alignment horizontal="left" wrapText="1"/>
    </xf>
    <xf numFmtId="0" fontId="2" fillId="4" borderId="37" xfId="0" applyFont="1" applyFill="1" applyBorder="1" applyAlignment="1">
      <alignment horizontal="center"/>
    </xf>
    <xf numFmtId="0" fontId="2" fillId="4" borderId="27" xfId="0" applyFont="1" applyFill="1" applyBorder="1" applyAlignment="1">
      <alignment horizontal="center"/>
    </xf>
    <xf numFmtId="0" fontId="2" fillId="4" borderId="36" xfId="0" applyFont="1" applyFill="1" applyBorder="1" applyAlignment="1">
      <alignment horizontal="center"/>
    </xf>
    <xf numFmtId="0" fontId="3" fillId="0" borderId="60" xfId="0" applyFont="1" applyBorder="1" applyAlignment="1">
      <alignment horizontal="center"/>
    </xf>
    <xf numFmtId="0" fontId="3" fillId="0" borderId="57" xfId="0" applyFont="1" applyBorder="1" applyAlignment="1">
      <alignment horizontal="center"/>
    </xf>
    <xf numFmtId="0" fontId="3" fillId="0" borderId="61" xfId="0" applyFont="1" applyBorder="1" applyAlignment="1">
      <alignment horizontal="center"/>
    </xf>
  </cellXfs>
  <cellStyles count="1">
    <cellStyle name="Normal" xfId="0" builtinId="0"/>
  </cellStyles>
  <dxfs count="1">
    <dxf>
      <fill>
        <patternFill>
          <bgColor theme="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247650</xdr:colOff>
      <xdr:row>8</xdr:row>
      <xdr:rowOff>76200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514600" y="1028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/>
        </a:p>
      </xdr:txBody>
    </xdr:sp>
    <xdr:clientData/>
  </xdr:oneCellAnchor>
  <xdr:oneCellAnchor>
    <xdr:from>
      <xdr:col>14</xdr:col>
      <xdr:colOff>247650</xdr:colOff>
      <xdr:row>21</xdr:row>
      <xdr:rowOff>76200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CF07F9BE-2970-4CF6-8203-B958ADF14915}"/>
            </a:ext>
          </a:extLst>
        </xdr:cNvPr>
        <xdr:cNvSpPr txBox="1"/>
      </xdr:nvSpPr>
      <xdr:spPr>
        <a:xfrm>
          <a:off x="2260600" y="1473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endParaRPr lang="en-US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P28"/>
  <sheetViews>
    <sheetView showGridLines="0" tabSelected="1" workbookViewId="0">
      <selection activeCell="C2" sqref="C2"/>
    </sheetView>
  </sheetViews>
  <sheetFormatPr defaultColWidth="4.85546875" defaultRowHeight="15" x14ac:dyDescent="0.25"/>
  <cols>
    <col min="1" max="12" width="6.5703125" customWidth="1"/>
    <col min="13" max="13" width="7.42578125" customWidth="1"/>
    <col min="15" max="15" width="11.7109375" bestFit="1" customWidth="1"/>
    <col min="16" max="16" width="9.85546875" customWidth="1"/>
  </cols>
  <sheetData>
    <row r="1" spans="1:16" s="5" customFormat="1" ht="19.5" thickBot="1" x14ac:dyDescent="0.35">
      <c r="A1" s="11" t="s">
        <v>96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52"/>
      <c r="M1" s="55"/>
    </row>
    <row r="2" spans="1:16" ht="20.25" thickTop="1" thickBot="1" x14ac:dyDescent="0.35">
      <c r="A2" s="47" t="s">
        <v>97</v>
      </c>
      <c r="B2" s="28"/>
      <c r="C2" s="28">
        <f>COUNTIFS(A4:M27,"&gt;9",A4:M27,"&lt;100")</f>
        <v>26</v>
      </c>
      <c r="D2" s="28"/>
      <c r="E2" s="27"/>
      <c r="F2" s="28"/>
      <c r="G2" s="27"/>
      <c r="H2" s="28"/>
      <c r="I2" s="28"/>
      <c r="J2" s="28"/>
      <c r="K2" s="28"/>
      <c r="L2" s="27"/>
      <c r="M2" s="64"/>
    </row>
    <row r="3" spans="1:16" ht="16.5" thickTop="1" thickBot="1" x14ac:dyDescent="0.3">
      <c r="A3" s="22"/>
      <c r="B3" s="42"/>
      <c r="C3" s="22"/>
      <c r="D3" s="22"/>
      <c r="E3" s="22"/>
      <c r="F3" s="22"/>
      <c r="G3" s="42"/>
      <c r="H3" s="42"/>
      <c r="I3" s="42"/>
      <c r="J3" s="22"/>
      <c r="K3" s="22"/>
      <c r="M3" s="22"/>
    </row>
    <row r="4" spans="1:16" ht="16.5" thickTop="1" x14ac:dyDescent="0.25">
      <c r="A4" s="61">
        <v>730</v>
      </c>
      <c r="B4" s="8">
        <v>640</v>
      </c>
      <c r="C4" s="60">
        <v>936</v>
      </c>
      <c r="D4" s="60">
        <v>30</v>
      </c>
      <c r="E4" s="60">
        <v>914</v>
      </c>
      <c r="F4" s="60">
        <v>786</v>
      </c>
      <c r="G4" s="8">
        <v>734</v>
      </c>
      <c r="H4" s="8">
        <v>329</v>
      </c>
      <c r="I4" s="8">
        <v>82</v>
      </c>
      <c r="J4" s="60">
        <v>672</v>
      </c>
      <c r="K4" s="60">
        <v>937</v>
      </c>
      <c r="L4" s="60">
        <v>563.76363636363601</v>
      </c>
      <c r="M4" s="60">
        <v>554.845454545454</v>
      </c>
      <c r="N4" s="25"/>
    </row>
    <row r="5" spans="1:16" ht="15.75" x14ac:dyDescent="0.25">
      <c r="A5" s="7">
        <v>250</v>
      </c>
      <c r="B5" s="8">
        <v>263</v>
      </c>
      <c r="C5" s="8">
        <v>462</v>
      </c>
      <c r="D5" s="8">
        <v>267</v>
      </c>
      <c r="E5" s="8">
        <v>291</v>
      </c>
      <c r="F5" s="8">
        <v>211</v>
      </c>
      <c r="G5" s="8">
        <v>920</v>
      </c>
      <c r="H5" s="8">
        <v>106</v>
      </c>
      <c r="I5" s="8">
        <v>682</v>
      </c>
      <c r="J5" s="8">
        <v>931</v>
      </c>
      <c r="K5" s="8">
        <v>367</v>
      </c>
      <c r="L5" s="8">
        <v>15</v>
      </c>
      <c r="M5" s="8">
        <v>303</v>
      </c>
      <c r="N5" s="25"/>
    </row>
    <row r="6" spans="1:16" ht="15.75" x14ac:dyDescent="0.25">
      <c r="A6" s="7">
        <v>148</v>
      </c>
      <c r="B6" s="8">
        <v>684</v>
      </c>
      <c r="C6" s="8">
        <v>981</v>
      </c>
      <c r="D6" s="8">
        <v>171</v>
      </c>
      <c r="E6" s="8">
        <v>943</v>
      </c>
      <c r="F6" s="8">
        <v>556</v>
      </c>
      <c r="G6" s="8">
        <v>972</v>
      </c>
      <c r="H6" s="8">
        <v>360</v>
      </c>
      <c r="I6" s="8">
        <v>201</v>
      </c>
      <c r="J6" s="8">
        <v>128</v>
      </c>
      <c r="K6" s="8">
        <v>959</v>
      </c>
      <c r="L6" s="8">
        <v>828</v>
      </c>
      <c r="M6" s="8">
        <v>396</v>
      </c>
      <c r="N6" s="25"/>
    </row>
    <row r="7" spans="1:16" ht="15.75" x14ac:dyDescent="0.25">
      <c r="A7" s="7">
        <v>390</v>
      </c>
      <c r="B7" s="8">
        <v>195</v>
      </c>
      <c r="C7" s="8">
        <v>740</v>
      </c>
      <c r="D7" s="8">
        <v>146</v>
      </c>
      <c r="E7" s="8">
        <v>783</v>
      </c>
      <c r="F7" s="8">
        <v>713</v>
      </c>
      <c r="G7" s="8">
        <v>782</v>
      </c>
      <c r="H7" s="8">
        <v>248</v>
      </c>
      <c r="I7" s="8">
        <v>621</v>
      </c>
      <c r="J7" s="8">
        <v>418</v>
      </c>
      <c r="K7" s="8">
        <v>854</v>
      </c>
      <c r="L7" s="8">
        <v>558</v>
      </c>
      <c r="M7" s="63">
        <v>711</v>
      </c>
      <c r="P7">
        <f>P8</f>
        <v>0</v>
      </c>
    </row>
    <row r="8" spans="1:16" ht="15.75" x14ac:dyDescent="0.25">
      <c r="A8" s="7">
        <v>15</v>
      </c>
      <c r="B8" s="8">
        <v>303</v>
      </c>
      <c r="C8" s="8">
        <v>2</v>
      </c>
      <c r="D8" s="8">
        <v>380</v>
      </c>
      <c r="E8" s="8">
        <v>829</v>
      </c>
      <c r="F8" s="8">
        <v>793</v>
      </c>
      <c r="G8" s="8">
        <v>973</v>
      </c>
      <c r="H8" s="8">
        <v>542</v>
      </c>
      <c r="I8" s="8">
        <v>551</v>
      </c>
      <c r="J8" s="8">
        <v>791</v>
      </c>
      <c r="K8" s="8">
        <v>989</v>
      </c>
      <c r="L8" s="8">
        <v>654</v>
      </c>
      <c r="M8" s="63">
        <v>160</v>
      </c>
    </row>
    <row r="9" spans="1:16" ht="15.75" x14ac:dyDescent="0.25">
      <c r="A9" s="7">
        <v>828</v>
      </c>
      <c r="B9" s="8">
        <v>396</v>
      </c>
      <c r="C9" s="8">
        <v>273</v>
      </c>
      <c r="D9" s="8">
        <v>805</v>
      </c>
      <c r="E9" s="8">
        <v>279</v>
      </c>
      <c r="F9" s="8">
        <v>828</v>
      </c>
      <c r="G9" s="8">
        <v>903</v>
      </c>
      <c r="H9" s="8">
        <v>694</v>
      </c>
      <c r="I9" s="8">
        <v>434</v>
      </c>
      <c r="J9" s="8">
        <v>515</v>
      </c>
      <c r="K9" s="8">
        <v>243</v>
      </c>
      <c r="L9" s="8">
        <v>677</v>
      </c>
      <c r="M9" s="63">
        <v>429</v>
      </c>
    </row>
    <row r="10" spans="1:16" ht="15.75" x14ac:dyDescent="0.25">
      <c r="A10" s="7">
        <v>558</v>
      </c>
      <c r="B10" s="8">
        <v>711</v>
      </c>
      <c r="C10" s="8">
        <v>442</v>
      </c>
      <c r="D10" s="8">
        <v>27</v>
      </c>
      <c r="E10" s="8">
        <v>257</v>
      </c>
      <c r="F10" s="8">
        <v>875</v>
      </c>
      <c r="G10" s="8">
        <v>880</v>
      </c>
      <c r="H10" s="8">
        <v>759</v>
      </c>
      <c r="I10" s="8">
        <v>886</v>
      </c>
      <c r="J10" s="8">
        <v>403</v>
      </c>
      <c r="K10" s="8">
        <v>291</v>
      </c>
      <c r="L10" s="8">
        <v>545</v>
      </c>
      <c r="M10" s="8">
        <v>934</v>
      </c>
      <c r="N10" s="25"/>
    </row>
    <row r="11" spans="1:16" ht="15.75" x14ac:dyDescent="0.25">
      <c r="A11" s="7">
        <v>654</v>
      </c>
      <c r="B11" s="8">
        <v>160</v>
      </c>
      <c r="C11" s="8">
        <v>595</v>
      </c>
      <c r="D11" s="8">
        <v>443</v>
      </c>
      <c r="E11" s="8">
        <v>985</v>
      </c>
      <c r="F11" s="8">
        <v>611</v>
      </c>
      <c r="G11" s="8">
        <v>221</v>
      </c>
      <c r="H11" s="8">
        <v>527</v>
      </c>
      <c r="I11" s="8">
        <v>116</v>
      </c>
      <c r="J11" s="8">
        <v>744</v>
      </c>
      <c r="K11" s="8">
        <v>754</v>
      </c>
      <c r="L11" s="8">
        <v>480</v>
      </c>
      <c r="M11" s="8">
        <v>93</v>
      </c>
      <c r="N11" s="25"/>
    </row>
    <row r="12" spans="1:16" ht="15.75" x14ac:dyDescent="0.25">
      <c r="A12" s="7">
        <v>677</v>
      </c>
      <c r="B12" s="8">
        <v>429</v>
      </c>
      <c r="C12" s="8">
        <v>19</v>
      </c>
      <c r="D12" s="8">
        <v>410</v>
      </c>
      <c r="E12" s="8">
        <v>687</v>
      </c>
      <c r="F12" s="8">
        <v>388</v>
      </c>
      <c r="G12" s="8">
        <v>890</v>
      </c>
      <c r="H12" s="8">
        <v>743</v>
      </c>
      <c r="I12" s="8">
        <v>593</v>
      </c>
      <c r="J12" s="8">
        <v>751</v>
      </c>
      <c r="K12" s="8">
        <v>109</v>
      </c>
      <c r="L12" s="8">
        <v>840</v>
      </c>
      <c r="M12" s="8">
        <v>775</v>
      </c>
      <c r="N12" s="25"/>
    </row>
    <row r="13" spans="1:16" ht="15.75" x14ac:dyDescent="0.25">
      <c r="A13" s="7">
        <v>545</v>
      </c>
      <c r="B13" s="8">
        <v>934</v>
      </c>
      <c r="C13" s="8">
        <v>38</v>
      </c>
      <c r="D13" s="8">
        <v>264</v>
      </c>
      <c r="E13" s="8">
        <v>701</v>
      </c>
      <c r="F13" s="8">
        <v>248</v>
      </c>
      <c r="G13" s="8">
        <v>644</v>
      </c>
      <c r="H13" s="8">
        <v>627</v>
      </c>
      <c r="I13" s="8">
        <v>762</v>
      </c>
      <c r="J13" s="8">
        <v>689</v>
      </c>
      <c r="K13" s="8">
        <v>452</v>
      </c>
      <c r="L13" s="8">
        <v>2</v>
      </c>
      <c r="M13" s="8">
        <v>380</v>
      </c>
      <c r="N13" s="25"/>
    </row>
    <row r="14" spans="1:16" ht="15.75" x14ac:dyDescent="0.25">
      <c r="A14" s="7">
        <v>480</v>
      </c>
      <c r="B14" s="8">
        <v>93</v>
      </c>
      <c r="C14" s="8">
        <v>765</v>
      </c>
      <c r="D14" s="8">
        <v>2</v>
      </c>
      <c r="E14" s="8">
        <v>219</v>
      </c>
      <c r="F14" s="8">
        <v>153</v>
      </c>
      <c r="G14" s="8">
        <v>333</v>
      </c>
      <c r="H14" s="8">
        <v>416</v>
      </c>
      <c r="I14" s="8">
        <v>756</v>
      </c>
      <c r="J14" s="8">
        <v>565</v>
      </c>
      <c r="K14" s="8">
        <v>6</v>
      </c>
      <c r="L14" s="8">
        <v>273</v>
      </c>
      <c r="M14" s="63">
        <v>805</v>
      </c>
    </row>
    <row r="15" spans="1:16" ht="15.75" x14ac:dyDescent="0.25">
      <c r="A15" s="7">
        <v>840</v>
      </c>
      <c r="B15" s="8">
        <v>775</v>
      </c>
      <c r="C15" s="8">
        <v>245</v>
      </c>
      <c r="D15" s="8">
        <v>773</v>
      </c>
      <c r="E15" s="8">
        <v>508</v>
      </c>
      <c r="F15" s="8">
        <v>501</v>
      </c>
      <c r="G15" s="8">
        <v>709</v>
      </c>
      <c r="H15" s="8">
        <v>149</v>
      </c>
      <c r="I15" s="8">
        <v>377</v>
      </c>
      <c r="J15" s="8">
        <v>893</v>
      </c>
      <c r="K15" s="8">
        <v>659</v>
      </c>
      <c r="L15" s="8">
        <v>442</v>
      </c>
      <c r="M15" s="8">
        <v>27</v>
      </c>
      <c r="N15" s="25"/>
    </row>
    <row r="16" spans="1:16" ht="15.75" x14ac:dyDescent="0.25">
      <c r="A16" s="7">
        <v>293</v>
      </c>
      <c r="B16" s="8">
        <v>416</v>
      </c>
      <c r="C16" s="8">
        <v>173</v>
      </c>
      <c r="D16" s="8">
        <v>588</v>
      </c>
      <c r="E16" s="8">
        <v>193</v>
      </c>
      <c r="F16" s="8">
        <v>30</v>
      </c>
      <c r="G16" s="8">
        <v>288</v>
      </c>
      <c r="H16" s="8">
        <v>257</v>
      </c>
      <c r="I16" s="8">
        <v>47</v>
      </c>
      <c r="J16" s="8">
        <v>111</v>
      </c>
      <c r="K16" s="8">
        <v>402</v>
      </c>
      <c r="L16" s="8">
        <v>595</v>
      </c>
      <c r="M16" s="63">
        <v>443</v>
      </c>
    </row>
    <row r="17" spans="1:14" ht="15.75" x14ac:dyDescent="0.25">
      <c r="A17" s="7">
        <v>448</v>
      </c>
      <c r="B17" s="8">
        <v>673</v>
      </c>
      <c r="C17" s="8">
        <v>744</v>
      </c>
      <c r="D17" s="8">
        <v>50</v>
      </c>
      <c r="E17" s="8">
        <v>612</v>
      </c>
      <c r="F17" s="8">
        <v>911</v>
      </c>
      <c r="G17" s="8">
        <v>353</v>
      </c>
      <c r="H17" s="8">
        <v>31</v>
      </c>
      <c r="I17" s="8">
        <v>368</v>
      </c>
      <c r="J17" s="8">
        <v>319</v>
      </c>
      <c r="K17" s="8">
        <v>716</v>
      </c>
      <c r="L17" s="8">
        <v>19</v>
      </c>
      <c r="M17" s="63">
        <v>410</v>
      </c>
    </row>
    <row r="18" spans="1:14" ht="15.75" x14ac:dyDescent="0.25">
      <c r="A18" s="7">
        <v>78</v>
      </c>
      <c r="B18" s="8">
        <v>501</v>
      </c>
      <c r="C18" s="8">
        <v>199</v>
      </c>
      <c r="D18" s="8">
        <v>207</v>
      </c>
      <c r="E18" s="8">
        <v>315</v>
      </c>
      <c r="F18" s="8">
        <v>152</v>
      </c>
      <c r="G18" s="8">
        <v>576</v>
      </c>
      <c r="H18" s="8">
        <v>399</v>
      </c>
      <c r="I18" s="8">
        <v>576</v>
      </c>
      <c r="J18" s="8">
        <v>766</v>
      </c>
      <c r="K18" s="8">
        <v>692</v>
      </c>
      <c r="L18" s="8">
        <v>38</v>
      </c>
      <c r="M18" s="63">
        <v>264</v>
      </c>
    </row>
    <row r="19" spans="1:14" ht="15.75" x14ac:dyDescent="0.25">
      <c r="A19" s="7">
        <v>513</v>
      </c>
      <c r="B19" s="8">
        <v>69</v>
      </c>
      <c r="C19" s="8">
        <v>340</v>
      </c>
      <c r="D19" s="8">
        <v>817</v>
      </c>
      <c r="E19" s="8">
        <v>915</v>
      </c>
      <c r="F19" s="8">
        <v>57</v>
      </c>
      <c r="G19" s="8">
        <v>623</v>
      </c>
      <c r="H19" s="8">
        <v>486</v>
      </c>
      <c r="I19" s="8">
        <v>288</v>
      </c>
      <c r="J19" s="8">
        <v>909</v>
      </c>
      <c r="K19" s="8">
        <v>327</v>
      </c>
      <c r="L19" s="8">
        <v>765</v>
      </c>
      <c r="M19" s="63">
        <v>2</v>
      </c>
    </row>
    <row r="20" spans="1:14" ht="15.75" x14ac:dyDescent="0.25">
      <c r="A20" s="7">
        <v>690</v>
      </c>
      <c r="B20" s="8">
        <v>167</v>
      </c>
      <c r="C20" s="8">
        <v>951</v>
      </c>
      <c r="D20" s="8">
        <v>618</v>
      </c>
      <c r="E20" s="8">
        <v>333</v>
      </c>
      <c r="F20" s="8">
        <v>591</v>
      </c>
      <c r="G20" s="8">
        <v>954</v>
      </c>
      <c r="H20" s="8">
        <v>625</v>
      </c>
      <c r="I20" s="8">
        <v>574</v>
      </c>
      <c r="J20" s="8">
        <v>539</v>
      </c>
      <c r="K20" s="8">
        <v>376</v>
      </c>
      <c r="L20" s="8">
        <v>245</v>
      </c>
      <c r="M20" s="63">
        <v>773</v>
      </c>
    </row>
    <row r="21" spans="1:14" ht="15.75" x14ac:dyDescent="0.25">
      <c r="A21" s="7">
        <v>340</v>
      </c>
      <c r="B21" s="8">
        <v>674</v>
      </c>
      <c r="C21" s="8">
        <v>649</v>
      </c>
      <c r="D21" s="8">
        <v>233</v>
      </c>
      <c r="E21" s="8">
        <v>175</v>
      </c>
      <c r="F21" s="8">
        <v>887</v>
      </c>
      <c r="G21" s="8">
        <v>467</v>
      </c>
      <c r="H21" s="8">
        <v>821</v>
      </c>
      <c r="I21" s="8">
        <v>663</v>
      </c>
      <c r="J21" s="8">
        <v>254</v>
      </c>
      <c r="K21" s="8">
        <v>806</v>
      </c>
      <c r="L21" s="8">
        <v>829</v>
      </c>
      <c r="M21" s="63">
        <v>793</v>
      </c>
    </row>
    <row r="22" spans="1:14" ht="15.75" x14ac:dyDescent="0.25">
      <c r="A22" s="7">
        <v>457</v>
      </c>
      <c r="B22" s="8">
        <v>339</v>
      </c>
      <c r="C22" s="8">
        <v>274</v>
      </c>
      <c r="D22" s="8">
        <v>954</v>
      </c>
      <c r="E22" s="8">
        <v>503</v>
      </c>
      <c r="F22" s="8">
        <v>798</v>
      </c>
      <c r="G22" s="8">
        <v>63</v>
      </c>
      <c r="H22" s="8">
        <v>874</v>
      </c>
      <c r="I22" s="8">
        <v>614</v>
      </c>
      <c r="J22" s="8">
        <v>774</v>
      </c>
      <c r="K22" s="8">
        <v>603</v>
      </c>
      <c r="L22" s="8">
        <v>279</v>
      </c>
      <c r="M22" s="63">
        <v>828</v>
      </c>
    </row>
    <row r="23" spans="1:14" ht="15.75" x14ac:dyDescent="0.25">
      <c r="A23" s="7">
        <v>367</v>
      </c>
      <c r="B23" s="8">
        <v>265</v>
      </c>
      <c r="C23" s="8">
        <v>843</v>
      </c>
      <c r="D23" s="8">
        <v>429</v>
      </c>
      <c r="E23" s="8">
        <v>297</v>
      </c>
      <c r="F23" s="8">
        <v>249</v>
      </c>
      <c r="G23" s="8">
        <v>742</v>
      </c>
      <c r="H23" s="8">
        <v>897</v>
      </c>
      <c r="I23" s="8">
        <v>494</v>
      </c>
      <c r="J23" s="8">
        <v>319</v>
      </c>
      <c r="K23" s="8">
        <v>837</v>
      </c>
      <c r="L23" s="8">
        <v>257</v>
      </c>
      <c r="M23" s="63">
        <v>875</v>
      </c>
    </row>
    <row r="24" spans="1:14" ht="15.75" x14ac:dyDescent="0.25">
      <c r="A24" s="7">
        <v>698</v>
      </c>
      <c r="B24" s="8">
        <v>808</v>
      </c>
      <c r="C24" s="8">
        <v>391</v>
      </c>
      <c r="D24" s="8">
        <v>526</v>
      </c>
      <c r="E24" s="8">
        <v>100</v>
      </c>
      <c r="F24" s="8">
        <v>716</v>
      </c>
      <c r="G24" s="8">
        <v>215</v>
      </c>
      <c r="H24" s="8">
        <v>217</v>
      </c>
      <c r="I24" s="8">
        <v>484</v>
      </c>
      <c r="J24" s="8">
        <v>413</v>
      </c>
      <c r="K24" s="8">
        <v>97</v>
      </c>
      <c r="L24" s="8">
        <v>985</v>
      </c>
      <c r="M24" s="8">
        <v>611</v>
      </c>
      <c r="N24" s="25"/>
    </row>
    <row r="25" spans="1:14" ht="15.75" x14ac:dyDescent="0.25">
      <c r="A25" s="7">
        <v>495</v>
      </c>
      <c r="B25" s="8">
        <v>157</v>
      </c>
      <c r="C25" s="8">
        <v>226</v>
      </c>
      <c r="D25" s="8">
        <v>394</v>
      </c>
      <c r="E25" s="8">
        <v>409</v>
      </c>
      <c r="F25" s="8">
        <v>604</v>
      </c>
      <c r="G25" s="8">
        <v>864</v>
      </c>
      <c r="H25" s="8">
        <v>42</v>
      </c>
      <c r="I25" s="8">
        <v>480</v>
      </c>
      <c r="J25" s="8">
        <v>482</v>
      </c>
      <c r="K25" s="8">
        <v>705</v>
      </c>
      <c r="L25" s="8">
        <v>687</v>
      </c>
      <c r="M25" s="8">
        <v>388</v>
      </c>
      <c r="N25" s="25"/>
    </row>
    <row r="26" spans="1:14" ht="15.75" x14ac:dyDescent="0.25">
      <c r="A26" s="7">
        <v>236</v>
      </c>
      <c r="B26" s="8">
        <v>636</v>
      </c>
      <c r="C26" s="8">
        <v>662</v>
      </c>
      <c r="D26" s="8">
        <v>40</v>
      </c>
      <c r="E26" s="8">
        <v>994</v>
      </c>
      <c r="F26" s="8">
        <v>390</v>
      </c>
      <c r="G26" s="8">
        <v>228</v>
      </c>
      <c r="H26" s="8">
        <v>654</v>
      </c>
      <c r="I26" s="8">
        <v>678</v>
      </c>
      <c r="J26" s="8">
        <v>76</v>
      </c>
      <c r="K26" s="8">
        <v>478</v>
      </c>
      <c r="L26" s="8">
        <v>701</v>
      </c>
      <c r="M26" s="8">
        <v>248</v>
      </c>
      <c r="N26" s="25"/>
    </row>
    <row r="27" spans="1:14" ht="16.5" thickBot="1" x14ac:dyDescent="0.3">
      <c r="A27" s="7">
        <v>485</v>
      </c>
      <c r="B27" s="8">
        <v>812</v>
      </c>
      <c r="C27" s="8">
        <v>84</v>
      </c>
      <c r="D27" s="8">
        <v>633</v>
      </c>
      <c r="E27" s="8">
        <v>639</v>
      </c>
      <c r="F27" s="8">
        <v>954</v>
      </c>
      <c r="G27" s="8">
        <v>79</v>
      </c>
      <c r="H27" s="62">
        <v>918</v>
      </c>
      <c r="I27" s="62">
        <v>3</v>
      </c>
      <c r="J27" s="62">
        <v>630</v>
      </c>
      <c r="K27" s="8">
        <v>948</v>
      </c>
      <c r="L27" s="8">
        <v>219</v>
      </c>
      <c r="M27" s="8">
        <v>153</v>
      </c>
      <c r="N27" s="25"/>
    </row>
    <row r="28" spans="1:14" ht="15.75" thickTop="1" x14ac:dyDescent="0.25">
      <c r="A28" s="22"/>
      <c r="B28" s="22"/>
      <c r="C28" s="22"/>
      <c r="D28" s="22"/>
      <c r="E28" s="22"/>
      <c r="F28" s="22"/>
      <c r="G28" s="22"/>
      <c r="K28" s="22"/>
      <c r="L28" s="22"/>
      <c r="M28" s="22"/>
    </row>
  </sheetData>
  <conditionalFormatting sqref="A4:M27 O21:R28 K28:M28">
    <cfRule type="expression" dxfId="0" priority="2" stopIfTrue="1">
      <formula>IF(AND($A$4:$K$27&gt;10, $A$4:$K$27&lt;100),1,0)</formula>
    </cfRule>
  </conditionalFormatting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11"/>
  <sheetViews>
    <sheetView showGridLines="0" workbookViewId="0">
      <selection activeCell="I5" sqref="I5"/>
    </sheetView>
  </sheetViews>
  <sheetFormatPr defaultRowHeight="15" x14ac:dyDescent="0.25"/>
  <cols>
    <col min="1" max="1" width="8.7109375" customWidth="1"/>
    <col min="5" max="5" width="17.85546875" customWidth="1"/>
  </cols>
  <sheetData>
    <row r="1" spans="1:7" ht="19.5" thickBot="1" x14ac:dyDescent="0.35">
      <c r="A1" s="11" t="s">
        <v>98</v>
      </c>
      <c r="B1" s="52"/>
      <c r="C1" s="52"/>
      <c r="D1" s="12"/>
      <c r="E1" s="12"/>
      <c r="F1" s="13"/>
    </row>
    <row r="2" spans="1:7" ht="20.25" thickTop="1" thickBot="1" x14ac:dyDescent="0.35">
      <c r="A2" s="50" t="s">
        <v>97</v>
      </c>
      <c r="B2" s="59" cm="1">
        <f t="array" ref="B2">SUMPRODUCT(--(LEN(A4:F10)=2))</f>
        <v>24</v>
      </c>
      <c r="C2" s="59"/>
      <c r="D2" s="27"/>
      <c r="E2" s="27"/>
      <c r="F2" s="48"/>
      <c r="G2" s="25"/>
    </row>
    <row r="3" spans="1:7" ht="16.5" thickTop="1" thickBot="1" x14ac:dyDescent="0.3">
      <c r="C3" s="42"/>
      <c r="D3" s="22"/>
      <c r="E3" s="42"/>
      <c r="F3" s="42"/>
    </row>
    <row r="4" spans="1:7" ht="16.5" thickTop="1" x14ac:dyDescent="0.25">
      <c r="A4" s="61" t="s">
        <v>10</v>
      </c>
      <c r="B4" s="60" t="s">
        <v>1</v>
      </c>
      <c r="C4" s="8" t="s">
        <v>13</v>
      </c>
      <c r="D4" s="60" t="s">
        <v>25</v>
      </c>
      <c r="E4" s="8" t="s">
        <v>11</v>
      </c>
      <c r="F4" s="8" t="s">
        <v>107</v>
      </c>
      <c r="G4" s="25"/>
    </row>
    <row r="5" spans="1:7" ht="15.75" x14ac:dyDescent="0.25">
      <c r="A5" s="7" t="s">
        <v>11</v>
      </c>
      <c r="B5" s="8" t="s">
        <v>12</v>
      </c>
      <c r="C5" s="8" t="s">
        <v>14</v>
      </c>
      <c r="D5" s="8" t="s">
        <v>22</v>
      </c>
      <c r="E5" s="8" t="s">
        <v>11</v>
      </c>
      <c r="F5" s="8" t="s">
        <v>106</v>
      </c>
      <c r="G5" s="25"/>
    </row>
    <row r="6" spans="1:7" ht="15.75" x14ac:dyDescent="0.25">
      <c r="A6" s="7" t="s">
        <v>15</v>
      </c>
      <c r="B6" s="8" t="s">
        <v>16</v>
      </c>
      <c r="C6" s="8" t="s">
        <v>17</v>
      </c>
      <c r="D6" s="8" t="s">
        <v>26</v>
      </c>
      <c r="E6" s="8" t="s">
        <v>99</v>
      </c>
      <c r="F6" s="8" t="s">
        <v>16</v>
      </c>
      <c r="G6" s="25"/>
    </row>
    <row r="7" spans="1:7" ht="15.75" x14ac:dyDescent="0.25">
      <c r="A7" s="7" t="s">
        <v>18</v>
      </c>
      <c r="B7" s="8" t="s">
        <v>19</v>
      </c>
      <c r="C7" s="8" t="s">
        <v>19</v>
      </c>
      <c r="D7" s="8" t="s">
        <v>26</v>
      </c>
      <c r="E7" s="8" t="s">
        <v>18</v>
      </c>
      <c r="F7" s="8" t="s">
        <v>102</v>
      </c>
      <c r="G7" s="25"/>
    </row>
    <row r="8" spans="1:7" ht="15.75" x14ac:dyDescent="0.25">
      <c r="A8" s="7" t="s">
        <v>20</v>
      </c>
      <c r="B8" s="8" t="s">
        <v>21</v>
      </c>
      <c r="C8" s="8" t="s">
        <v>22</v>
      </c>
      <c r="D8" s="8" t="s">
        <v>27</v>
      </c>
      <c r="E8" s="8" t="s">
        <v>100</v>
      </c>
      <c r="F8" s="63" t="s">
        <v>103</v>
      </c>
    </row>
    <row r="9" spans="1:7" ht="15.75" x14ac:dyDescent="0.25">
      <c r="A9" s="7" t="s">
        <v>23</v>
      </c>
      <c r="B9" s="8" t="s">
        <v>21</v>
      </c>
      <c r="C9" s="8" t="s">
        <v>24</v>
      </c>
      <c r="D9" s="8" t="s">
        <v>24</v>
      </c>
      <c r="E9" s="8" t="s">
        <v>23</v>
      </c>
      <c r="F9" s="8" t="s">
        <v>104</v>
      </c>
      <c r="G9" s="25"/>
    </row>
    <row r="10" spans="1:7" ht="16.5" thickBot="1" x14ac:dyDescent="0.3">
      <c r="A10" s="7" t="s">
        <v>23</v>
      </c>
      <c r="B10" s="62" t="s">
        <v>23</v>
      </c>
      <c r="C10" s="62" t="s">
        <v>24</v>
      </c>
      <c r="D10" s="62" t="s">
        <v>28</v>
      </c>
      <c r="E10" s="8" t="s">
        <v>101</v>
      </c>
      <c r="F10" s="8" t="s">
        <v>105</v>
      </c>
      <c r="G10" s="25"/>
    </row>
    <row r="11" spans="1:7" ht="15.75" thickTop="1" x14ac:dyDescent="0.25">
      <c r="A11" s="22"/>
      <c r="E11" s="22"/>
      <c r="F11" s="2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J10"/>
  <sheetViews>
    <sheetView showGridLines="0" workbookViewId="0">
      <selection activeCell="L8" sqref="L8"/>
    </sheetView>
  </sheetViews>
  <sheetFormatPr defaultRowHeight="15" x14ac:dyDescent="0.25"/>
  <cols>
    <col min="1" max="1" width="8.7109375" customWidth="1"/>
    <col min="2" max="2" width="8.42578125" customWidth="1"/>
  </cols>
  <sheetData>
    <row r="1" spans="1:10" ht="19.5" thickBot="1" x14ac:dyDescent="0.35">
      <c r="A1" s="54" t="s">
        <v>108</v>
      </c>
      <c r="B1" s="52"/>
      <c r="C1" s="12"/>
      <c r="D1" s="52"/>
      <c r="E1" s="12"/>
      <c r="F1" s="52"/>
      <c r="G1" s="52"/>
      <c r="H1" s="12"/>
      <c r="I1" s="55"/>
    </row>
    <row r="2" spans="1:10" ht="16.5" thickTop="1" thickBot="1" x14ac:dyDescent="0.3">
      <c r="A2" s="53"/>
      <c r="B2" s="3"/>
      <c r="C2" s="49"/>
      <c r="D2" s="3"/>
      <c r="E2" s="51"/>
      <c r="F2" s="3"/>
      <c r="G2" s="3"/>
      <c r="H2" s="49"/>
    </row>
    <row r="3" spans="1:10" ht="20.25" thickTop="1" thickBot="1" x14ac:dyDescent="0.35">
      <c r="A3" s="9" t="s">
        <v>148</v>
      </c>
      <c r="B3" s="12" t="s">
        <v>149</v>
      </c>
      <c r="C3" s="12"/>
      <c r="D3" s="12"/>
      <c r="E3" s="12"/>
      <c r="F3" s="52"/>
      <c r="G3" s="12"/>
      <c r="H3" s="52"/>
      <c r="I3" s="56"/>
    </row>
    <row r="4" spans="1:10" ht="16.5" thickTop="1" thickBot="1" x14ac:dyDescent="0.3">
      <c r="A4" s="51"/>
      <c r="B4" s="51"/>
      <c r="C4" s="3"/>
      <c r="D4" s="51"/>
      <c r="E4" s="51"/>
      <c r="F4" s="53"/>
      <c r="G4" s="51"/>
      <c r="H4" s="3"/>
      <c r="I4" s="42"/>
    </row>
    <row r="5" spans="1:10" ht="20.25" thickTop="1" thickBot="1" x14ac:dyDescent="0.35">
      <c r="A5" s="50" t="s">
        <v>97</v>
      </c>
      <c r="B5" s="27">
        <f>LEN(B3)- LEN(SUBSTITUTE(B3," ",""))</f>
        <v>9</v>
      </c>
      <c r="C5" s="28"/>
      <c r="D5" s="28"/>
      <c r="E5" s="27"/>
      <c r="F5" s="27"/>
      <c r="G5" s="27"/>
      <c r="H5" s="28"/>
      <c r="I5" s="29"/>
      <c r="J5" s="25"/>
    </row>
    <row r="6" spans="1:10" ht="16.5" thickTop="1" thickBot="1" x14ac:dyDescent="0.3">
      <c r="A6" s="3"/>
      <c r="B6" s="51"/>
      <c r="C6" s="57"/>
      <c r="D6" s="49"/>
      <c r="E6" s="3"/>
      <c r="F6" s="51"/>
      <c r="G6" s="3"/>
      <c r="H6" s="57"/>
      <c r="I6" s="22"/>
    </row>
    <row r="7" spans="1:10" ht="20.25" thickTop="1" thickBot="1" x14ac:dyDescent="0.35">
      <c r="A7" s="38" t="s">
        <v>109</v>
      </c>
      <c r="B7" s="10" t="s">
        <v>150</v>
      </c>
      <c r="C7" s="39"/>
      <c r="D7" s="12"/>
      <c r="E7" s="12"/>
      <c r="F7" s="10"/>
      <c r="G7" s="12"/>
      <c r="H7" s="39"/>
      <c r="I7" s="58"/>
    </row>
    <row r="8" spans="1:10" ht="16.5" thickTop="1" thickBot="1" x14ac:dyDescent="0.3">
      <c r="A8" s="42"/>
      <c r="B8" s="42"/>
      <c r="C8" s="42"/>
      <c r="D8" s="42"/>
      <c r="E8" s="42"/>
      <c r="F8" s="42"/>
      <c r="G8" s="42"/>
      <c r="H8" s="42"/>
      <c r="I8" s="42"/>
    </row>
    <row r="9" spans="1:10" ht="20.25" thickTop="1" thickBot="1" x14ac:dyDescent="0.35">
      <c r="A9" s="47" t="s">
        <v>97</v>
      </c>
      <c r="B9" s="27">
        <f>LEN(SUBSTITUTE(B7," ",""))</f>
        <v>43</v>
      </c>
      <c r="C9" s="28"/>
      <c r="D9" s="28"/>
      <c r="E9" s="28"/>
      <c r="F9" s="28"/>
      <c r="G9" s="28"/>
      <c r="H9" s="27"/>
      <c r="I9" s="48"/>
    </row>
    <row r="10" spans="1:10" ht="15.75" thickTop="1" x14ac:dyDescent="0.25">
      <c r="A10" s="22"/>
      <c r="C10" s="22"/>
      <c r="D10" s="22"/>
      <c r="E10" s="22"/>
      <c r="F10" s="22"/>
      <c r="G10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440"/>
  <sheetViews>
    <sheetView showGridLines="0" topLeftCell="B1" zoomScale="115" zoomScaleNormal="115" workbookViewId="0">
      <selection activeCell="H10" sqref="H10"/>
    </sheetView>
  </sheetViews>
  <sheetFormatPr defaultRowHeight="15" x14ac:dyDescent="0.25"/>
  <cols>
    <col min="2" max="3" width="9.42578125" customWidth="1"/>
    <col min="4" max="4" width="7.5703125" customWidth="1"/>
    <col min="5" max="5" width="8.5703125" customWidth="1"/>
    <col min="6" max="6" width="11.7109375" bestFit="1" customWidth="1"/>
    <col min="7" max="7" width="10.28515625" bestFit="1" customWidth="1"/>
    <col min="13" max="13" width="0" hidden="1" customWidth="1"/>
    <col min="16" max="16" width="14.42578125" customWidth="1"/>
  </cols>
  <sheetData>
    <row r="1" spans="1:18" ht="18.95" customHeight="1" thickBot="1" x14ac:dyDescent="0.35">
      <c r="A1" s="9" t="s">
        <v>115</v>
      </c>
      <c r="B1" s="43"/>
      <c r="C1" s="43"/>
      <c r="D1" s="10"/>
      <c r="E1" s="10"/>
      <c r="F1" s="10"/>
      <c r="G1" s="10"/>
      <c r="H1" s="10"/>
      <c r="I1" s="10"/>
      <c r="J1" s="10"/>
      <c r="K1" s="10"/>
      <c r="L1" s="10"/>
      <c r="M1">
        <v>1</v>
      </c>
      <c r="N1" s="37"/>
      <c r="O1" s="14" t="s">
        <v>9</v>
      </c>
      <c r="P1" s="14" t="s">
        <v>0</v>
      </c>
      <c r="Q1" t="s">
        <v>110</v>
      </c>
      <c r="R1" t="s">
        <v>112</v>
      </c>
    </row>
    <row r="2" spans="1:18" ht="18.600000000000001" customHeight="1" thickTop="1" thickBot="1" x14ac:dyDescent="0.35">
      <c r="A2" s="134" t="s">
        <v>97</v>
      </c>
      <c r="B2" s="65" t="s">
        <v>110</v>
      </c>
      <c r="C2" s="41" t="s">
        <v>29</v>
      </c>
      <c r="D2" s="131" t="s">
        <v>113</v>
      </c>
      <c r="E2" s="132"/>
      <c r="F2" s="132"/>
      <c r="G2" s="132"/>
      <c r="H2" s="132"/>
      <c r="I2" s="132"/>
      <c r="J2" s="132"/>
      <c r="K2" s="132"/>
      <c r="L2" s="133"/>
      <c r="O2" s="15" t="s">
        <v>1</v>
      </c>
      <c r="P2" s="16">
        <v>40825</v>
      </c>
      <c r="Q2" t="str">
        <f>TEXT(P2,"mm")</f>
        <v>10</v>
      </c>
      <c r="R2" t="str">
        <f>TEXT(P2,"yyyy")</f>
        <v>2011</v>
      </c>
    </row>
    <row r="3" spans="1:18" ht="18.600000000000001" customHeight="1" thickTop="1" thickBot="1" x14ac:dyDescent="0.35">
      <c r="A3" s="135"/>
      <c r="B3" s="66">
        <v>7</v>
      </c>
      <c r="C3" s="69" t="s">
        <v>71</v>
      </c>
      <c r="D3" s="136">
        <f>COUNTIFS(O1:O440,C3,Q1:Q440,B3)</f>
        <v>4</v>
      </c>
      <c r="E3" s="137"/>
      <c r="F3" s="137"/>
      <c r="G3" s="137"/>
      <c r="H3" s="137"/>
      <c r="I3" s="137"/>
      <c r="J3" s="137"/>
      <c r="K3" s="137"/>
      <c r="L3" s="139"/>
      <c r="O3" s="15" t="s">
        <v>2</v>
      </c>
      <c r="P3" s="16">
        <v>40826</v>
      </c>
      <c r="Q3" t="str">
        <f t="shared" ref="Q3:Q66" si="0">TEXT(P3,"mm")</f>
        <v>10</v>
      </c>
      <c r="R3" t="str">
        <f t="shared" ref="R3:R66" si="1">TEXT(P3,"yyyy")</f>
        <v>2011</v>
      </c>
    </row>
    <row r="4" spans="1:18" ht="17.25" thickTop="1" thickBot="1" x14ac:dyDescent="0.3">
      <c r="A4" s="42"/>
      <c r="E4" s="42"/>
      <c r="F4" s="42"/>
      <c r="G4" s="42"/>
      <c r="I4" s="42"/>
      <c r="J4" s="30"/>
      <c r="K4" s="42"/>
      <c r="L4" s="42"/>
      <c r="O4" s="15" t="s">
        <v>3</v>
      </c>
      <c r="P4" s="16">
        <v>40827</v>
      </c>
      <c r="Q4" t="str">
        <f t="shared" si="0"/>
        <v>10</v>
      </c>
      <c r="R4" t="str">
        <f t="shared" si="1"/>
        <v>2011</v>
      </c>
    </row>
    <row r="5" spans="1:18" ht="20.25" thickTop="1" thickBot="1" x14ac:dyDescent="0.35">
      <c r="A5" s="38" t="s">
        <v>111</v>
      </c>
      <c r="B5" s="39"/>
      <c r="C5" s="40"/>
      <c r="D5" s="39"/>
      <c r="E5" s="39"/>
      <c r="F5" s="39"/>
      <c r="G5" s="39"/>
      <c r="H5" s="39"/>
      <c r="I5" s="10"/>
      <c r="J5" s="10"/>
      <c r="K5" s="39"/>
      <c r="L5" s="10"/>
      <c r="M5">
        <v>2</v>
      </c>
      <c r="N5" s="37"/>
      <c r="O5" s="15" t="s">
        <v>4</v>
      </c>
      <c r="P5" s="16">
        <v>40828</v>
      </c>
      <c r="Q5" t="str">
        <f t="shared" si="0"/>
        <v>10</v>
      </c>
      <c r="R5" t="str">
        <f t="shared" si="1"/>
        <v>2011</v>
      </c>
    </row>
    <row r="6" spans="1:18" ht="20.25" thickTop="1" thickBot="1" x14ac:dyDescent="0.35">
      <c r="A6" s="134" t="s">
        <v>97</v>
      </c>
      <c r="B6" s="45" t="s">
        <v>112</v>
      </c>
      <c r="C6" s="65" t="s">
        <v>29</v>
      </c>
      <c r="D6" s="131" t="s">
        <v>113</v>
      </c>
      <c r="E6" s="132"/>
      <c r="F6" s="132"/>
      <c r="G6" s="132"/>
      <c r="H6" s="132"/>
      <c r="I6" s="132"/>
      <c r="J6" s="132"/>
      <c r="K6" s="132"/>
      <c r="L6" s="133"/>
      <c r="M6">
        <v>3</v>
      </c>
      <c r="O6" s="15" t="s">
        <v>5</v>
      </c>
      <c r="P6" s="16">
        <v>40829</v>
      </c>
      <c r="Q6" t="str">
        <f t="shared" si="0"/>
        <v>10</v>
      </c>
      <c r="R6" t="str">
        <f t="shared" si="1"/>
        <v>2011</v>
      </c>
    </row>
    <row r="7" spans="1:18" ht="20.25" thickTop="1" thickBot="1" x14ac:dyDescent="0.35">
      <c r="A7" s="135"/>
      <c r="B7" s="66">
        <v>2011</v>
      </c>
      <c r="C7" s="67" t="s">
        <v>1</v>
      </c>
      <c r="D7" s="136">
        <f>COUNTIFS(O1:O440,C7,R1:R440,B7)</f>
        <v>11</v>
      </c>
      <c r="E7" s="137"/>
      <c r="F7" s="137"/>
      <c r="G7" s="137"/>
      <c r="H7" s="137"/>
      <c r="I7" s="137"/>
      <c r="J7" s="137"/>
      <c r="K7" s="137"/>
      <c r="L7" s="138"/>
      <c r="M7">
        <v>4</v>
      </c>
      <c r="N7" s="37"/>
      <c r="O7" s="15" t="s">
        <v>6</v>
      </c>
      <c r="P7" s="16">
        <v>40830</v>
      </c>
      <c r="Q7" t="str">
        <f t="shared" si="0"/>
        <v>10</v>
      </c>
      <c r="R7" t="str">
        <f t="shared" si="1"/>
        <v>2011</v>
      </c>
    </row>
    <row r="8" spans="1:18" ht="16.5" thickTop="1" x14ac:dyDescent="0.25">
      <c r="A8" s="22"/>
      <c r="B8" s="22"/>
      <c r="C8" s="22"/>
      <c r="D8" s="22"/>
      <c r="F8" s="22"/>
      <c r="K8" s="22"/>
      <c r="L8" s="22"/>
      <c r="M8">
        <v>5</v>
      </c>
      <c r="O8" s="15" t="s">
        <v>7</v>
      </c>
      <c r="P8" s="16">
        <v>40831</v>
      </c>
      <c r="Q8" t="str">
        <f t="shared" si="0"/>
        <v>10</v>
      </c>
      <c r="R8" t="str">
        <f t="shared" si="1"/>
        <v>2011</v>
      </c>
    </row>
    <row r="9" spans="1:18" ht="15.75" x14ac:dyDescent="0.25">
      <c r="I9" t="s">
        <v>9</v>
      </c>
      <c r="J9" t="s">
        <v>110</v>
      </c>
      <c r="M9">
        <v>6</v>
      </c>
      <c r="O9" s="15" t="s">
        <v>8</v>
      </c>
      <c r="P9" s="16">
        <v>40832</v>
      </c>
      <c r="Q9" t="str">
        <f t="shared" si="0"/>
        <v>10</v>
      </c>
      <c r="R9" t="str">
        <f t="shared" si="1"/>
        <v>2011</v>
      </c>
    </row>
    <row r="10" spans="1:18" ht="15.75" x14ac:dyDescent="0.25">
      <c r="F10">
        <f>COUNTIFS(O1:O440,C7,R1:R440,B7)</f>
        <v>11</v>
      </c>
      <c r="I10" t="s">
        <v>71</v>
      </c>
      <c r="J10">
        <v>12</v>
      </c>
      <c r="M10">
        <v>7</v>
      </c>
      <c r="O10" s="15" t="s">
        <v>1</v>
      </c>
      <c r="P10" s="16">
        <v>40833</v>
      </c>
      <c r="Q10" t="str">
        <f t="shared" si="0"/>
        <v>10</v>
      </c>
      <c r="R10" t="str">
        <f t="shared" si="1"/>
        <v>2011</v>
      </c>
    </row>
    <row r="11" spans="1:18" ht="16.5" thickBot="1" x14ac:dyDescent="0.3">
      <c r="E11" s="46"/>
      <c r="F11">
        <f>COUNTIFS(O1:O440,C3,Q1:Q440,B3)</f>
        <v>4</v>
      </c>
      <c r="M11">
        <v>8</v>
      </c>
      <c r="O11" s="15" t="s">
        <v>2</v>
      </c>
      <c r="P11" s="16">
        <v>40834</v>
      </c>
      <c r="Q11" t="str">
        <f t="shared" si="0"/>
        <v>10</v>
      </c>
      <c r="R11" t="str">
        <f t="shared" si="1"/>
        <v>2011</v>
      </c>
    </row>
    <row r="12" spans="1:18" ht="16.5" thickTop="1" x14ac:dyDescent="0.25">
      <c r="G12">
        <f>DCOUNT(ch,Q1,B2:C3)</f>
        <v>0</v>
      </c>
      <c r="I12">
        <f>DCOUNTA(ch,Q1,I9:J10)</f>
        <v>7</v>
      </c>
      <c r="M12">
        <v>9</v>
      </c>
      <c r="O12" s="15" t="s">
        <v>3</v>
      </c>
      <c r="P12" s="16">
        <v>40835</v>
      </c>
      <c r="Q12" t="str">
        <f t="shared" si="0"/>
        <v>10</v>
      </c>
      <c r="R12" t="str">
        <f t="shared" si="1"/>
        <v>2011</v>
      </c>
    </row>
    <row r="13" spans="1:18" ht="15.75" x14ac:dyDescent="0.25">
      <c r="E13">
        <f>DCOUNTA(ch,Q1,I9:J10)</f>
        <v>7</v>
      </c>
      <c r="G13">
        <f>DCOUNTA(ch,O1,B2:C3)</f>
        <v>0</v>
      </c>
      <c r="M13">
        <v>10</v>
      </c>
      <c r="O13" s="15" t="s">
        <v>4</v>
      </c>
      <c r="P13" s="16">
        <v>40836</v>
      </c>
      <c r="Q13" t="str">
        <f t="shared" si="0"/>
        <v>10</v>
      </c>
      <c r="R13" t="str">
        <f t="shared" si="1"/>
        <v>2011</v>
      </c>
    </row>
    <row r="14" spans="1:18" ht="15.75" x14ac:dyDescent="0.25">
      <c r="M14">
        <v>11</v>
      </c>
      <c r="O14" s="15" t="s">
        <v>5</v>
      </c>
      <c r="P14" s="16">
        <v>40837</v>
      </c>
      <c r="Q14" t="str">
        <f t="shared" si="0"/>
        <v>10</v>
      </c>
      <c r="R14" t="str">
        <f t="shared" si="1"/>
        <v>2011</v>
      </c>
    </row>
    <row r="15" spans="1:18" ht="15.75" x14ac:dyDescent="0.25">
      <c r="M15">
        <v>12</v>
      </c>
      <c r="O15" s="15" t="s">
        <v>6</v>
      </c>
      <c r="P15" s="16">
        <v>40838</v>
      </c>
      <c r="Q15" t="str">
        <f t="shared" si="0"/>
        <v>10</v>
      </c>
      <c r="R15" t="str">
        <f t="shared" si="1"/>
        <v>2011</v>
      </c>
    </row>
    <row r="16" spans="1:18" ht="15.75" x14ac:dyDescent="0.25">
      <c r="O16" s="15" t="s">
        <v>7</v>
      </c>
      <c r="P16" s="16">
        <v>40839</v>
      </c>
      <c r="Q16" t="str">
        <f t="shared" si="0"/>
        <v>10</v>
      </c>
      <c r="R16" t="str">
        <f t="shared" si="1"/>
        <v>2011</v>
      </c>
    </row>
    <row r="17" spans="15:18" ht="15.75" x14ac:dyDescent="0.25">
      <c r="O17" s="15" t="s">
        <v>8</v>
      </c>
      <c r="P17" s="16">
        <v>40840</v>
      </c>
      <c r="Q17" t="str">
        <f t="shared" si="0"/>
        <v>10</v>
      </c>
      <c r="R17" t="str">
        <f t="shared" si="1"/>
        <v>2011</v>
      </c>
    </row>
    <row r="18" spans="15:18" ht="15.75" x14ac:dyDescent="0.25">
      <c r="O18" s="15" t="s">
        <v>1</v>
      </c>
      <c r="P18" s="16">
        <v>40841</v>
      </c>
      <c r="Q18" t="str">
        <f t="shared" si="0"/>
        <v>10</v>
      </c>
      <c r="R18" t="str">
        <f t="shared" si="1"/>
        <v>2011</v>
      </c>
    </row>
    <row r="19" spans="15:18" ht="15.75" x14ac:dyDescent="0.25">
      <c r="O19" s="15" t="s">
        <v>2</v>
      </c>
      <c r="P19" s="16">
        <v>40842</v>
      </c>
      <c r="Q19" t="str">
        <f t="shared" si="0"/>
        <v>10</v>
      </c>
      <c r="R19" t="str">
        <f t="shared" si="1"/>
        <v>2011</v>
      </c>
    </row>
    <row r="20" spans="15:18" ht="15.75" x14ac:dyDescent="0.25">
      <c r="O20" s="15" t="s">
        <v>3</v>
      </c>
      <c r="P20" s="16">
        <v>40843</v>
      </c>
      <c r="Q20" t="str">
        <f t="shared" si="0"/>
        <v>10</v>
      </c>
      <c r="R20" t="str">
        <f t="shared" si="1"/>
        <v>2011</v>
      </c>
    </row>
    <row r="21" spans="15:18" ht="15.75" x14ac:dyDescent="0.25">
      <c r="O21" s="15" t="s">
        <v>4</v>
      </c>
      <c r="P21" s="16">
        <v>40844</v>
      </c>
      <c r="Q21" t="str">
        <f t="shared" si="0"/>
        <v>10</v>
      </c>
      <c r="R21" t="str">
        <f t="shared" si="1"/>
        <v>2011</v>
      </c>
    </row>
    <row r="22" spans="15:18" ht="15.75" x14ac:dyDescent="0.25">
      <c r="O22" s="15" t="s">
        <v>5</v>
      </c>
      <c r="P22" s="16">
        <v>40845</v>
      </c>
      <c r="Q22" t="str">
        <f t="shared" si="0"/>
        <v>10</v>
      </c>
      <c r="R22" t="str">
        <f t="shared" si="1"/>
        <v>2011</v>
      </c>
    </row>
    <row r="23" spans="15:18" ht="15.75" x14ac:dyDescent="0.25">
      <c r="O23" s="15" t="s">
        <v>6</v>
      </c>
      <c r="P23" s="16">
        <v>40846</v>
      </c>
      <c r="Q23" t="str">
        <f t="shared" si="0"/>
        <v>10</v>
      </c>
      <c r="R23" t="str">
        <f t="shared" si="1"/>
        <v>2011</v>
      </c>
    </row>
    <row r="24" spans="15:18" ht="15.75" x14ac:dyDescent="0.25">
      <c r="O24" s="15" t="s">
        <v>7</v>
      </c>
      <c r="P24" s="16">
        <v>40847</v>
      </c>
      <c r="Q24" t="str">
        <f t="shared" si="0"/>
        <v>10</v>
      </c>
      <c r="R24" t="str">
        <f t="shared" si="1"/>
        <v>2011</v>
      </c>
    </row>
    <row r="25" spans="15:18" ht="15.75" x14ac:dyDescent="0.25">
      <c r="O25" s="15" t="s">
        <v>8</v>
      </c>
      <c r="P25" s="16">
        <v>40848</v>
      </c>
      <c r="Q25" t="str">
        <f t="shared" si="0"/>
        <v>11</v>
      </c>
      <c r="R25" t="str">
        <f t="shared" si="1"/>
        <v>2011</v>
      </c>
    </row>
    <row r="26" spans="15:18" ht="15.75" x14ac:dyDescent="0.25">
      <c r="O26" s="15" t="s">
        <v>1</v>
      </c>
      <c r="P26" s="16">
        <v>40849</v>
      </c>
      <c r="Q26" t="str">
        <f t="shared" si="0"/>
        <v>11</v>
      </c>
      <c r="R26" t="str">
        <f t="shared" si="1"/>
        <v>2011</v>
      </c>
    </row>
    <row r="27" spans="15:18" ht="15.75" x14ac:dyDescent="0.25">
      <c r="O27" s="15" t="s">
        <v>2</v>
      </c>
      <c r="P27" s="16">
        <v>40850</v>
      </c>
      <c r="Q27" t="str">
        <f t="shared" si="0"/>
        <v>11</v>
      </c>
      <c r="R27" t="str">
        <f t="shared" si="1"/>
        <v>2011</v>
      </c>
    </row>
    <row r="28" spans="15:18" ht="15.75" x14ac:dyDescent="0.25">
      <c r="O28" s="15" t="s">
        <v>3</v>
      </c>
      <c r="P28" s="16">
        <v>40851</v>
      </c>
      <c r="Q28" t="str">
        <f t="shared" si="0"/>
        <v>11</v>
      </c>
      <c r="R28" t="str">
        <f t="shared" si="1"/>
        <v>2011</v>
      </c>
    </row>
    <row r="29" spans="15:18" ht="15.75" x14ac:dyDescent="0.25">
      <c r="O29" s="15" t="s">
        <v>4</v>
      </c>
      <c r="P29" s="16">
        <v>40852</v>
      </c>
      <c r="Q29" t="str">
        <f t="shared" si="0"/>
        <v>11</v>
      </c>
      <c r="R29" t="str">
        <f t="shared" si="1"/>
        <v>2011</v>
      </c>
    </row>
    <row r="30" spans="15:18" ht="15.75" x14ac:dyDescent="0.25">
      <c r="O30" s="15" t="s">
        <v>5</v>
      </c>
      <c r="P30" s="16">
        <v>40853</v>
      </c>
      <c r="Q30" t="str">
        <f t="shared" si="0"/>
        <v>11</v>
      </c>
      <c r="R30" t="str">
        <f t="shared" si="1"/>
        <v>2011</v>
      </c>
    </row>
    <row r="31" spans="15:18" ht="15.75" x14ac:dyDescent="0.25">
      <c r="O31" s="15" t="s">
        <v>6</v>
      </c>
      <c r="P31" s="16">
        <v>40854</v>
      </c>
      <c r="Q31" t="str">
        <f t="shared" si="0"/>
        <v>11</v>
      </c>
      <c r="R31" t="str">
        <f t="shared" si="1"/>
        <v>2011</v>
      </c>
    </row>
    <row r="32" spans="15:18" ht="15.75" x14ac:dyDescent="0.25">
      <c r="O32" s="15" t="s">
        <v>7</v>
      </c>
      <c r="P32" s="16">
        <v>40855</v>
      </c>
      <c r="Q32" t="str">
        <f t="shared" si="0"/>
        <v>11</v>
      </c>
      <c r="R32" t="str">
        <f t="shared" si="1"/>
        <v>2011</v>
      </c>
    </row>
    <row r="33" spans="15:18" ht="15.75" x14ac:dyDescent="0.25">
      <c r="O33" s="15" t="s">
        <v>8</v>
      </c>
      <c r="P33" s="16">
        <v>40856</v>
      </c>
      <c r="Q33" t="str">
        <f t="shared" si="0"/>
        <v>11</v>
      </c>
      <c r="R33" t="str">
        <f t="shared" si="1"/>
        <v>2011</v>
      </c>
    </row>
    <row r="34" spans="15:18" ht="15.75" x14ac:dyDescent="0.25">
      <c r="O34" s="15" t="s">
        <v>1</v>
      </c>
      <c r="P34" s="16">
        <v>40857</v>
      </c>
      <c r="Q34" t="str">
        <f t="shared" si="0"/>
        <v>11</v>
      </c>
      <c r="R34" t="str">
        <f t="shared" si="1"/>
        <v>2011</v>
      </c>
    </row>
    <row r="35" spans="15:18" ht="15.75" x14ac:dyDescent="0.25">
      <c r="O35" s="15" t="s">
        <v>2</v>
      </c>
      <c r="P35" s="16">
        <v>40858</v>
      </c>
      <c r="Q35" t="str">
        <f t="shared" si="0"/>
        <v>11</v>
      </c>
      <c r="R35" t="str">
        <f t="shared" si="1"/>
        <v>2011</v>
      </c>
    </row>
    <row r="36" spans="15:18" ht="15.75" x14ac:dyDescent="0.25">
      <c r="O36" s="15" t="s">
        <v>3</v>
      </c>
      <c r="P36" s="16">
        <v>40859</v>
      </c>
      <c r="Q36" t="str">
        <f t="shared" si="0"/>
        <v>11</v>
      </c>
      <c r="R36" t="str">
        <f t="shared" si="1"/>
        <v>2011</v>
      </c>
    </row>
    <row r="37" spans="15:18" ht="15.75" x14ac:dyDescent="0.25">
      <c r="O37" s="15" t="s">
        <v>4</v>
      </c>
      <c r="P37" s="16">
        <v>40860</v>
      </c>
      <c r="Q37" t="str">
        <f t="shared" si="0"/>
        <v>11</v>
      </c>
      <c r="R37" t="str">
        <f t="shared" si="1"/>
        <v>2011</v>
      </c>
    </row>
    <row r="38" spans="15:18" ht="15.75" x14ac:dyDescent="0.25">
      <c r="O38" s="15" t="s">
        <v>5</v>
      </c>
      <c r="P38" s="16">
        <v>40861</v>
      </c>
      <c r="Q38" t="str">
        <f t="shared" si="0"/>
        <v>11</v>
      </c>
      <c r="R38" t="str">
        <f t="shared" si="1"/>
        <v>2011</v>
      </c>
    </row>
    <row r="39" spans="15:18" ht="15.75" x14ac:dyDescent="0.25">
      <c r="O39" s="15" t="s">
        <v>6</v>
      </c>
      <c r="P39" s="16">
        <v>40862</v>
      </c>
      <c r="Q39" t="str">
        <f t="shared" si="0"/>
        <v>11</v>
      </c>
      <c r="R39" t="str">
        <f t="shared" si="1"/>
        <v>2011</v>
      </c>
    </row>
    <row r="40" spans="15:18" ht="15.75" x14ac:dyDescent="0.25">
      <c r="O40" s="15" t="s">
        <v>7</v>
      </c>
      <c r="P40" s="16">
        <v>40863</v>
      </c>
      <c r="Q40" t="str">
        <f t="shared" si="0"/>
        <v>11</v>
      </c>
      <c r="R40" t="str">
        <f t="shared" si="1"/>
        <v>2011</v>
      </c>
    </row>
    <row r="41" spans="15:18" ht="15.75" x14ac:dyDescent="0.25">
      <c r="O41" s="15" t="s">
        <v>8</v>
      </c>
      <c r="P41" s="16">
        <v>40864</v>
      </c>
      <c r="Q41" t="str">
        <f t="shared" si="0"/>
        <v>11</v>
      </c>
      <c r="R41" t="str">
        <f t="shared" si="1"/>
        <v>2011</v>
      </c>
    </row>
    <row r="42" spans="15:18" ht="15.75" x14ac:dyDescent="0.25">
      <c r="O42" s="15" t="s">
        <v>1</v>
      </c>
      <c r="P42" s="16">
        <v>40865</v>
      </c>
      <c r="Q42" t="str">
        <f t="shared" si="0"/>
        <v>11</v>
      </c>
      <c r="R42" t="str">
        <f t="shared" si="1"/>
        <v>2011</v>
      </c>
    </row>
    <row r="43" spans="15:18" ht="15.75" x14ac:dyDescent="0.25">
      <c r="O43" s="15" t="s">
        <v>2</v>
      </c>
      <c r="P43" s="16">
        <v>40866</v>
      </c>
      <c r="Q43" t="str">
        <f t="shared" si="0"/>
        <v>11</v>
      </c>
      <c r="R43" t="str">
        <f t="shared" si="1"/>
        <v>2011</v>
      </c>
    </row>
    <row r="44" spans="15:18" ht="15.75" x14ac:dyDescent="0.25">
      <c r="O44" s="15" t="s">
        <v>3</v>
      </c>
      <c r="P44" s="16">
        <v>40867</v>
      </c>
      <c r="Q44" t="str">
        <f t="shared" si="0"/>
        <v>11</v>
      </c>
      <c r="R44" t="str">
        <f t="shared" si="1"/>
        <v>2011</v>
      </c>
    </row>
    <row r="45" spans="15:18" ht="15.75" x14ac:dyDescent="0.25">
      <c r="O45" s="15" t="s">
        <v>4</v>
      </c>
      <c r="P45" s="16">
        <v>40868</v>
      </c>
      <c r="Q45" t="str">
        <f t="shared" si="0"/>
        <v>11</v>
      </c>
      <c r="R45" t="str">
        <f t="shared" si="1"/>
        <v>2011</v>
      </c>
    </row>
    <row r="46" spans="15:18" ht="15.75" x14ac:dyDescent="0.25">
      <c r="O46" s="15" t="s">
        <v>5</v>
      </c>
      <c r="P46" s="16">
        <v>40869</v>
      </c>
      <c r="Q46" t="str">
        <f t="shared" si="0"/>
        <v>11</v>
      </c>
      <c r="R46" t="str">
        <f t="shared" si="1"/>
        <v>2011</v>
      </c>
    </row>
    <row r="47" spans="15:18" ht="15.75" x14ac:dyDescent="0.25">
      <c r="O47" s="15" t="s">
        <v>6</v>
      </c>
      <c r="P47" s="16">
        <v>40870</v>
      </c>
      <c r="Q47" t="str">
        <f t="shared" si="0"/>
        <v>11</v>
      </c>
      <c r="R47" t="str">
        <f t="shared" si="1"/>
        <v>2011</v>
      </c>
    </row>
    <row r="48" spans="15:18" ht="15.75" x14ac:dyDescent="0.25">
      <c r="O48" s="15" t="s">
        <v>7</v>
      </c>
      <c r="P48" s="16">
        <v>40871</v>
      </c>
      <c r="Q48" t="str">
        <f t="shared" si="0"/>
        <v>11</v>
      </c>
      <c r="R48" t="str">
        <f t="shared" si="1"/>
        <v>2011</v>
      </c>
    </row>
    <row r="49" spans="15:18" ht="15.75" x14ac:dyDescent="0.25">
      <c r="O49" s="15" t="s">
        <v>8</v>
      </c>
      <c r="P49" s="16">
        <v>40872</v>
      </c>
      <c r="Q49" t="str">
        <f t="shared" si="0"/>
        <v>11</v>
      </c>
      <c r="R49" t="str">
        <f t="shared" si="1"/>
        <v>2011</v>
      </c>
    </row>
    <row r="50" spans="15:18" ht="15.75" x14ac:dyDescent="0.25">
      <c r="O50" s="15" t="s">
        <v>1</v>
      </c>
      <c r="P50" s="16">
        <v>40873</v>
      </c>
      <c r="Q50" t="str">
        <f t="shared" si="0"/>
        <v>11</v>
      </c>
      <c r="R50" t="str">
        <f t="shared" si="1"/>
        <v>2011</v>
      </c>
    </row>
    <row r="51" spans="15:18" ht="15.75" x14ac:dyDescent="0.25">
      <c r="O51" s="15" t="s">
        <v>2</v>
      </c>
      <c r="P51" s="16">
        <v>40874</v>
      </c>
      <c r="Q51" t="str">
        <f t="shared" si="0"/>
        <v>11</v>
      </c>
      <c r="R51" t="str">
        <f t="shared" si="1"/>
        <v>2011</v>
      </c>
    </row>
    <row r="52" spans="15:18" ht="15.75" x14ac:dyDescent="0.25">
      <c r="O52" s="15" t="s">
        <v>3</v>
      </c>
      <c r="P52" s="16">
        <v>40875</v>
      </c>
      <c r="Q52" t="str">
        <f t="shared" si="0"/>
        <v>11</v>
      </c>
      <c r="R52" t="str">
        <f t="shared" si="1"/>
        <v>2011</v>
      </c>
    </row>
    <row r="53" spans="15:18" ht="15.75" x14ac:dyDescent="0.25">
      <c r="O53" s="15" t="s">
        <v>4</v>
      </c>
      <c r="P53" s="16">
        <v>40876</v>
      </c>
      <c r="Q53" t="str">
        <f t="shared" si="0"/>
        <v>11</v>
      </c>
      <c r="R53" t="str">
        <f t="shared" si="1"/>
        <v>2011</v>
      </c>
    </row>
    <row r="54" spans="15:18" ht="15.75" x14ac:dyDescent="0.25">
      <c r="O54" s="15" t="s">
        <v>5</v>
      </c>
      <c r="P54" s="16">
        <v>40877</v>
      </c>
      <c r="Q54" t="str">
        <f t="shared" si="0"/>
        <v>11</v>
      </c>
      <c r="R54" t="str">
        <f t="shared" si="1"/>
        <v>2011</v>
      </c>
    </row>
    <row r="55" spans="15:18" ht="15.75" x14ac:dyDescent="0.25">
      <c r="O55" s="15" t="s">
        <v>6</v>
      </c>
      <c r="P55" s="16">
        <v>40878</v>
      </c>
      <c r="Q55" t="str">
        <f t="shared" si="0"/>
        <v>12</v>
      </c>
      <c r="R55" t="str">
        <f t="shared" si="1"/>
        <v>2011</v>
      </c>
    </row>
    <row r="56" spans="15:18" ht="15.75" x14ac:dyDescent="0.25">
      <c r="O56" s="15" t="s">
        <v>7</v>
      </c>
      <c r="P56" s="16">
        <v>40879</v>
      </c>
      <c r="Q56" t="str">
        <f t="shared" si="0"/>
        <v>12</v>
      </c>
      <c r="R56" t="str">
        <f t="shared" si="1"/>
        <v>2011</v>
      </c>
    </row>
    <row r="57" spans="15:18" ht="15.75" x14ac:dyDescent="0.25">
      <c r="O57" s="15" t="s">
        <v>8</v>
      </c>
      <c r="P57" s="16">
        <v>40880</v>
      </c>
      <c r="Q57" t="str">
        <f t="shared" si="0"/>
        <v>12</v>
      </c>
      <c r="R57" t="str">
        <f t="shared" si="1"/>
        <v>2011</v>
      </c>
    </row>
    <row r="58" spans="15:18" ht="15.75" x14ac:dyDescent="0.25">
      <c r="O58" s="15" t="s">
        <v>1</v>
      </c>
      <c r="P58" s="16">
        <v>40881</v>
      </c>
      <c r="Q58" t="str">
        <f t="shared" si="0"/>
        <v>12</v>
      </c>
      <c r="R58" t="str">
        <f t="shared" si="1"/>
        <v>2011</v>
      </c>
    </row>
    <row r="59" spans="15:18" ht="15.75" x14ac:dyDescent="0.25">
      <c r="O59" s="15" t="s">
        <v>2</v>
      </c>
      <c r="P59" s="16">
        <v>40882</v>
      </c>
      <c r="Q59" t="str">
        <f t="shared" si="0"/>
        <v>12</v>
      </c>
      <c r="R59" t="str">
        <f t="shared" si="1"/>
        <v>2011</v>
      </c>
    </row>
    <row r="60" spans="15:18" ht="15.75" x14ac:dyDescent="0.25">
      <c r="O60" s="15" t="s">
        <v>3</v>
      </c>
      <c r="P60" s="16">
        <v>40883</v>
      </c>
      <c r="Q60" t="str">
        <f t="shared" si="0"/>
        <v>12</v>
      </c>
      <c r="R60" t="str">
        <f t="shared" si="1"/>
        <v>2011</v>
      </c>
    </row>
    <row r="61" spans="15:18" ht="15.75" x14ac:dyDescent="0.25">
      <c r="O61" s="15" t="s">
        <v>4</v>
      </c>
      <c r="P61" s="16">
        <v>40884</v>
      </c>
      <c r="Q61" t="str">
        <f t="shared" si="0"/>
        <v>12</v>
      </c>
      <c r="R61" t="str">
        <f t="shared" si="1"/>
        <v>2011</v>
      </c>
    </row>
    <row r="62" spans="15:18" ht="15.75" x14ac:dyDescent="0.25">
      <c r="O62" s="15" t="s">
        <v>5</v>
      </c>
      <c r="P62" s="16">
        <v>40885</v>
      </c>
      <c r="Q62" t="str">
        <f t="shared" si="0"/>
        <v>12</v>
      </c>
      <c r="R62" t="str">
        <f t="shared" si="1"/>
        <v>2011</v>
      </c>
    </row>
    <row r="63" spans="15:18" ht="15.75" x14ac:dyDescent="0.25">
      <c r="O63" s="15" t="s">
        <v>6</v>
      </c>
      <c r="P63" s="16">
        <v>40886</v>
      </c>
      <c r="Q63" t="str">
        <f t="shared" si="0"/>
        <v>12</v>
      </c>
      <c r="R63" t="str">
        <f t="shared" si="1"/>
        <v>2011</v>
      </c>
    </row>
    <row r="64" spans="15:18" ht="15.75" x14ac:dyDescent="0.25">
      <c r="O64" s="15" t="s">
        <v>7</v>
      </c>
      <c r="P64" s="16">
        <v>40887</v>
      </c>
      <c r="Q64" t="str">
        <f t="shared" si="0"/>
        <v>12</v>
      </c>
      <c r="R64" t="str">
        <f t="shared" si="1"/>
        <v>2011</v>
      </c>
    </row>
    <row r="65" spans="15:18" ht="15.75" x14ac:dyDescent="0.25">
      <c r="O65" s="15" t="s">
        <v>8</v>
      </c>
      <c r="P65" s="16">
        <v>40888</v>
      </c>
      <c r="Q65" t="str">
        <f t="shared" si="0"/>
        <v>12</v>
      </c>
      <c r="R65" t="str">
        <f t="shared" si="1"/>
        <v>2011</v>
      </c>
    </row>
    <row r="66" spans="15:18" ht="15.75" x14ac:dyDescent="0.25">
      <c r="O66" s="15" t="s">
        <v>1</v>
      </c>
      <c r="P66" s="16">
        <v>40889</v>
      </c>
      <c r="Q66" t="str">
        <f t="shared" si="0"/>
        <v>12</v>
      </c>
      <c r="R66" t="str">
        <f t="shared" si="1"/>
        <v>2011</v>
      </c>
    </row>
    <row r="67" spans="15:18" ht="15.75" x14ac:dyDescent="0.25">
      <c r="O67" s="15" t="s">
        <v>2</v>
      </c>
      <c r="P67" s="16">
        <v>40890</v>
      </c>
      <c r="Q67" t="str">
        <f t="shared" ref="Q67:Q130" si="2">TEXT(P67,"mm")</f>
        <v>12</v>
      </c>
      <c r="R67" t="str">
        <f t="shared" ref="R67:R130" si="3">TEXT(P67,"yyyy")</f>
        <v>2011</v>
      </c>
    </row>
    <row r="68" spans="15:18" ht="15.75" x14ac:dyDescent="0.25">
      <c r="O68" s="15" t="s">
        <v>3</v>
      </c>
      <c r="P68" s="16">
        <v>40891</v>
      </c>
      <c r="Q68" t="str">
        <f t="shared" si="2"/>
        <v>12</v>
      </c>
      <c r="R68" t="str">
        <f t="shared" si="3"/>
        <v>2011</v>
      </c>
    </row>
    <row r="69" spans="15:18" ht="15.75" x14ac:dyDescent="0.25">
      <c r="O69" s="15" t="s">
        <v>4</v>
      </c>
      <c r="P69" s="16">
        <v>40892</v>
      </c>
      <c r="Q69" t="str">
        <f t="shared" si="2"/>
        <v>12</v>
      </c>
      <c r="R69" t="str">
        <f t="shared" si="3"/>
        <v>2011</v>
      </c>
    </row>
    <row r="70" spans="15:18" ht="15.75" x14ac:dyDescent="0.25">
      <c r="O70" s="15" t="s">
        <v>5</v>
      </c>
      <c r="P70" s="16">
        <v>40893</v>
      </c>
      <c r="Q70" t="str">
        <f t="shared" si="2"/>
        <v>12</v>
      </c>
      <c r="R70" t="str">
        <f t="shared" si="3"/>
        <v>2011</v>
      </c>
    </row>
    <row r="71" spans="15:18" ht="15.75" x14ac:dyDescent="0.25">
      <c r="O71" s="15" t="s">
        <v>6</v>
      </c>
      <c r="P71" s="16">
        <v>40894</v>
      </c>
      <c r="Q71" t="str">
        <f t="shared" si="2"/>
        <v>12</v>
      </c>
      <c r="R71" t="str">
        <f t="shared" si="3"/>
        <v>2011</v>
      </c>
    </row>
    <row r="72" spans="15:18" ht="15.75" x14ac:dyDescent="0.25">
      <c r="O72" s="15" t="s">
        <v>7</v>
      </c>
      <c r="P72" s="16">
        <v>40895</v>
      </c>
      <c r="Q72" t="str">
        <f t="shared" si="2"/>
        <v>12</v>
      </c>
      <c r="R72" t="str">
        <f t="shared" si="3"/>
        <v>2011</v>
      </c>
    </row>
    <row r="73" spans="15:18" ht="15.75" x14ac:dyDescent="0.25">
      <c r="O73" s="15" t="s">
        <v>8</v>
      </c>
      <c r="P73" s="16">
        <v>40896</v>
      </c>
      <c r="Q73" t="str">
        <f t="shared" si="2"/>
        <v>12</v>
      </c>
      <c r="R73" t="str">
        <f t="shared" si="3"/>
        <v>2011</v>
      </c>
    </row>
    <row r="74" spans="15:18" ht="15.75" x14ac:dyDescent="0.25">
      <c r="O74" s="15" t="s">
        <v>1</v>
      </c>
      <c r="P74" s="16">
        <v>40897</v>
      </c>
      <c r="Q74" t="str">
        <f t="shared" si="2"/>
        <v>12</v>
      </c>
      <c r="R74" t="str">
        <f t="shared" si="3"/>
        <v>2011</v>
      </c>
    </row>
    <row r="75" spans="15:18" ht="15.75" x14ac:dyDescent="0.25">
      <c r="O75" s="15" t="s">
        <v>2</v>
      </c>
      <c r="P75" s="16">
        <v>40898</v>
      </c>
      <c r="Q75" t="str">
        <f t="shared" si="2"/>
        <v>12</v>
      </c>
      <c r="R75" t="str">
        <f t="shared" si="3"/>
        <v>2011</v>
      </c>
    </row>
    <row r="76" spans="15:18" ht="15.75" x14ac:dyDescent="0.25">
      <c r="O76" s="15" t="s">
        <v>3</v>
      </c>
      <c r="P76" s="16">
        <v>40899</v>
      </c>
      <c r="Q76" t="str">
        <f t="shared" si="2"/>
        <v>12</v>
      </c>
      <c r="R76" t="str">
        <f t="shared" si="3"/>
        <v>2011</v>
      </c>
    </row>
    <row r="77" spans="15:18" ht="15.75" x14ac:dyDescent="0.25">
      <c r="O77" s="15" t="s">
        <v>4</v>
      </c>
      <c r="P77" s="16">
        <v>40900</v>
      </c>
      <c r="Q77" t="str">
        <f t="shared" si="2"/>
        <v>12</v>
      </c>
      <c r="R77" t="str">
        <f t="shared" si="3"/>
        <v>2011</v>
      </c>
    </row>
    <row r="78" spans="15:18" ht="15.75" x14ac:dyDescent="0.25">
      <c r="O78" s="15" t="s">
        <v>5</v>
      </c>
      <c r="P78" s="16">
        <v>40901</v>
      </c>
      <c r="Q78" t="str">
        <f t="shared" si="2"/>
        <v>12</v>
      </c>
      <c r="R78" t="str">
        <f t="shared" si="3"/>
        <v>2011</v>
      </c>
    </row>
    <row r="79" spans="15:18" ht="15.75" x14ac:dyDescent="0.25">
      <c r="O79" s="15" t="s">
        <v>6</v>
      </c>
      <c r="P79" s="16">
        <v>40902</v>
      </c>
      <c r="Q79" t="str">
        <f t="shared" si="2"/>
        <v>12</v>
      </c>
      <c r="R79" t="str">
        <f t="shared" si="3"/>
        <v>2011</v>
      </c>
    </row>
    <row r="80" spans="15:18" ht="15.75" x14ac:dyDescent="0.25">
      <c r="O80" s="15" t="s">
        <v>7</v>
      </c>
      <c r="P80" s="16">
        <v>40903</v>
      </c>
      <c r="Q80" t="str">
        <f t="shared" si="2"/>
        <v>12</v>
      </c>
      <c r="R80" t="str">
        <f t="shared" si="3"/>
        <v>2011</v>
      </c>
    </row>
    <row r="81" spans="15:18" ht="15.75" x14ac:dyDescent="0.25">
      <c r="O81" s="15" t="s">
        <v>8</v>
      </c>
      <c r="P81" s="16">
        <v>40904</v>
      </c>
      <c r="Q81" t="str">
        <f t="shared" si="2"/>
        <v>12</v>
      </c>
      <c r="R81" t="str">
        <f t="shared" si="3"/>
        <v>2011</v>
      </c>
    </row>
    <row r="82" spans="15:18" ht="15.75" x14ac:dyDescent="0.25">
      <c r="O82" s="15" t="s">
        <v>1</v>
      </c>
      <c r="P82" s="16">
        <v>40905</v>
      </c>
      <c r="Q82" t="str">
        <f t="shared" si="2"/>
        <v>12</v>
      </c>
      <c r="R82" t="str">
        <f t="shared" si="3"/>
        <v>2011</v>
      </c>
    </row>
    <row r="83" spans="15:18" ht="15.75" x14ac:dyDescent="0.25">
      <c r="O83" s="15" t="s">
        <v>2</v>
      </c>
      <c r="P83" s="16">
        <v>40906</v>
      </c>
      <c r="Q83" t="str">
        <f t="shared" si="2"/>
        <v>12</v>
      </c>
      <c r="R83" t="str">
        <f t="shared" si="3"/>
        <v>2011</v>
      </c>
    </row>
    <row r="84" spans="15:18" ht="15.75" x14ac:dyDescent="0.25">
      <c r="O84" s="15" t="s">
        <v>3</v>
      </c>
      <c r="P84" s="16">
        <v>40907</v>
      </c>
      <c r="Q84" t="str">
        <f t="shared" si="2"/>
        <v>12</v>
      </c>
      <c r="R84" t="str">
        <f t="shared" si="3"/>
        <v>2011</v>
      </c>
    </row>
    <row r="85" spans="15:18" ht="15.75" x14ac:dyDescent="0.25">
      <c r="O85" s="15" t="s">
        <v>4</v>
      </c>
      <c r="P85" s="16">
        <v>40908</v>
      </c>
      <c r="Q85" t="str">
        <f t="shared" si="2"/>
        <v>12</v>
      </c>
      <c r="R85" t="str">
        <f t="shared" si="3"/>
        <v>2011</v>
      </c>
    </row>
    <row r="86" spans="15:18" ht="15.75" x14ac:dyDescent="0.25">
      <c r="O86" s="15" t="s">
        <v>5</v>
      </c>
      <c r="P86" s="16">
        <v>40909</v>
      </c>
      <c r="Q86" t="str">
        <f t="shared" si="2"/>
        <v>01</v>
      </c>
      <c r="R86" t="str">
        <f t="shared" si="3"/>
        <v>2012</v>
      </c>
    </row>
    <row r="87" spans="15:18" ht="15.75" x14ac:dyDescent="0.25">
      <c r="O87" s="15" t="s">
        <v>6</v>
      </c>
      <c r="P87" s="16">
        <v>40910</v>
      </c>
      <c r="Q87" t="str">
        <f t="shared" si="2"/>
        <v>01</v>
      </c>
      <c r="R87" t="str">
        <f t="shared" si="3"/>
        <v>2012</v>
      </c>
    </row>
    <row r="88" spans="15:18" ht="15.75" x14ac:dyDescent="0.25">
      <c r="O88" s="15" t="s">
        <v>7</v>
      </c>
      <c r="P88" s="16">
        <v>40911</v>
      </c>
      <c r="Q88" t="str">
        <f t="shared" si="2"/>
        <v>01</v>
      </c>
      <c r="R88" t="str">
        <f t="shared" si="3"/>
        <v>2012</v>
      </c>
    </row>
    <row r="89" spans="15:18" ht="15.75" x14ac:dyDescent="0.25">
      <c r="O89" s="15" t="s">
        <v>8</v>
      </c>
      <c r="P89" s="16">
        <v>40912</v>
      </c>
      <c r="Q89" t="str">
        <f t="shared" si="2"/>
        <v>01</v>
      </c>
      <c r="R89" t="str">
        <f t="shared" si="3"/>
        <v>2012</v>
      </c>
    </row>
    <row r="90" spans="15:18" ht="15.75" x14ac:dyDescent="0.25">
      <c r="O90" s="15" t="s">
        <v>1</v>
      </c>
      <c r="P90" s="16">
        <v>40913</v>
      </c>
      <c r="Q90" t="str">
        <f t="shared" si="2"/>
        <v>01</v>
      </c>
      <c r="R90" t="str">
        <f t="shared" si="3"/>
        <v>2012</v>
      </c>
    </row>
    <row r="91" spans="15:18" ht="15.75" x14ac:dyDescent="0.25">
      <c r="O91" s="15" t="s">
        <v>2</v>
      </c>
      <c r="P91" s="16">
        <v>40914</v>
      </c>
      <c r="Q91" t="str">
        <f t="shared" si="2"/>
        <v>01</v>
      </c>
      <c r="R91" t="str">
        <f t="shared" si="3"/>
        <v>2012</v>
      </c>
    </row>
    <row r="92" spans="15:18" ht="15.75" x14ac:dyDescent="0.25">
      <c r="O92" s="15" t="s">
        <v>3</v>
      </c>
      <c r="P92" s="16">
        <v>40915</v>
      </c>
      <c r="Q92" t="str">
        <f t="shared" si="2"/>
        <v>01</v>
      </c>
      <c r="R92" t="str">
        <f t="shared" si="3"/>
        <v>2012</v>
      </c>
    </row>
    <row r="93" spans="15:18" ht="15.75" x14ac:dyDescent="0.25">
      <c r="O93" s="15" t="s">
        <v>4</v>
      </c>
      <c r="P93" s="16">
        <v>40916</v>
      </c>
      <c r="Q93" t="str">
        <f t="shared" si="2"/>
        <v>01</v>
      </c>
      <c r="R93" t="str">
        <f t="shared" si="3"/>
        <v>2012</v>
      </c>
    </row>
    <row r="94" spans="15:18" ht="15.75" x14ac:dyDescent="0.25">
      <c r="O94" s="15" t="s">
        <v>5</v>
      </c>
      <c r="P94" s="16">
        <v>40917</v>
      </c>
      <c r="Q94" t="str">
        <f t="shared" si="2"/>
        <v>01</v>
      </c>
      <c r="R94" t="str">
        <f t="shared" si="3"/>
        <v>2012</v>
      </c>
    </row>
    <row r="95" spans="15:18" ht="15.75" x14ac:dyDescent="0.25">
      <c r="O95" s="15" t="s">
        <v>6</v>
      </c>
      <c r="P95" s="16">
        <v>40918</v>
      </c>
      <c r="Q95" t="str">
        <f t="shared" si="2"/>
        <v>01</v>
      </c>
      <c r="R95" t="str">
        <f t="shared" si="3"/>
        <v>2012</v>
      </c>
    </row>
    <row r="96" spans="15:18" ht="15.75" x14ac:dyDescent="0.25">
      <c r="O96" s="15" t="s">
        <v>7</v>
      </c>
      <c r="P96" s="16">
        <v>40919</v>
      </c>
      <c r="Q96" t="str">
        <f t="shared" si="2"/>
        <v>01</v>
      </c>
      <c r="R96" t="str">
        <f t="shared" si="3"/>
        <v>2012</v>
      </c>
    </row>
    <row r="97" spans="15:18" ht="15.75" x14ac:dyDescent="0.25">
      <c r="O97" s="15" t="s">
        <v>8</v>
      </c>
      <c r="P97" s="16">
        <v>40920</v>
      </c>
      <c r="Q97" t="str">
        <f t="shared" si="2"/>
        <v>01</v>
      </c>
      <c r="R97" t="str">
        <f t="shared" si="3"/>
        <v>2012</v>
      </c>
    </row>
    <row r="98" spans="15:18" ht="15.75" x14ac:dyDescent="0.25">
      <c r="O98" s="15" t="s">
        <v>1</v>
      </c>
      <c r="P98" s="16">
        <v>40921</v>
      </c>
      <c r="Q98" t="str">
        <f t="shared" si="2"/>
        <v>01</v>
      </c>
      <c r="R98" t="str">
        <f t="shared" si="3"/>
        <v>2012</v>
      </c>
    </row>
    <row r="99" spans="15:18" ht="15.75" x14ac:dyDescent="0.25">
      <c r="O99" s="15" t="s">
        <v>2</v>
      </c>
      <c r="P99" s="16">
        <v>40922</v>
      </c>
      <c r="Q99" t="str">
        <f t="shared" si="2"/>
        <v>01</v>
      </c>
      <c r="R99" t="str">
        <f t="shared" si="3"/>
        <v>2012</v>
      </c>
    </row>
    <row r="100" spans="15:18" ht="15.75" x14ac:dyDescent="0.25">
      <c r="O100" s="15" t="s">
        <v>3</v>
      </c>
      <c r="P100" s="16">
        <v>40923</v>
      </c>
      <c r="Q100" t="str">
        <f t="shared" si="2"/>
        <v>01</v>
      </c>
      <c r="R100" t="str">
        <f t="shared" si="3"/>
        <v>2012</v>
      </c>
    </row>
    <row r="101" spans="15:18" ht="15.75" x14ac:dyDescent="0.25">
      <c r="O101" s="15" t="s">
        <v>4</v>
      </c>
      <c r="P101" s="16">
        <v>40924</v>
      </c>
      <c r="Q101" t="str">
        <f t="shared" si="2"/>
        <v>01</v>
      </c>
      <c r="R101" t="str">
        <f t="shared" si="3"/>
        <v>2012</v>
      </c>
    </row>
    <row r="102" spans="15:18" ht="15.75" x14ac:dyDescent="0.25">
      <c r="O102" s="15" t="s">
        <v>5</v>
      </c>
      <c r="P102" s="16">
        <v>40925</v>
      </c>
      <c r="Q102" t="str">
        <f t="shared" si="2"/>
        <v>01</v>
      </c>
      <c r="R102" t="str">
        <f t="shared" si="3"/>
        <v>2012</v>
      </c>
    </row>
    <row r="103" spans="15:18" ht="15.75" x14ac:dyDescent="0.25">
      <c r="O103" s="15" t="s">
        <v>6</v>
      </c>
      <c r="P103" s="16">
        <v>40926</v>
      </c>
      <c r="Q103" t="str">
        <f t="shared" si="2"/>
        <v>01</v>
      </c>
      <c r="R103" t="str">
        <f t="shared" si="3"/>
        <v>2012</v>
      </c>
    </row>
    <row r="104" spans="15:18" ht="15.75" x14ac:dyDescent="0.25">
      <c r="O104" s="15" t="s">
        <v>7</v>
      </c>
      <c r="P104" s="16">
        <v>40927</v>
      </c>
      <c r="Q104" t="str">
        <f t="shared" si="2"/>
        <v>01</v>
      </c>
      <c r="R104" t="str">
        <f t="shared" si="3"/>
        <v>2012</v>
      </c>
    </row>
    <row r="105" spans="15:18" ht="15.75" x14ac:dyDescent="0.25">
      <c r="O105" s="15" t="s">
        <v>8</v>
      </c>
      <c r="P105" s="16">
        <v>40928</v>
      </c>
      <c r="Q105" t="str">
        <f t="shared" si="2"/>
        <v>01</v>
      </c>
      <c r="R105" t="str">
        <f t="shared" si="3"/>
        <v>2012</v>
      </c>
    </row>
    <row r="106" spans="15:18" ht="15.75" x14ac:dyDescent="0.25">
      <c r="O106" s="15" t="s">
        <v>1</v>
      </c>
      <c r="P106" s="16">
        <v>40929</v>
      </c>
      <c r="Q106" t="str">
        <f t="shared" si="2"/>
        <v>01</v>
      </c>
      <c r="R106" t="str">
        <f t="shared" si="3"/>
        <v>2012</v>
      </c>
    </row>
    <row r="107" spans="15:18" ht="15.75" x14ac:dyDescent="0.25">
      <c r="O107" s="15" t="s">
        <v>2</v>
      </c>
      <c r="P107" s="16">
        <v>40930</v>
      </c>
      <c r="Q107" t="str">
        <f t="shared" si="2"/>
        <v>01</v>
      </c>
      <c r="R107" t="str">
        <f t="shared" si="3"/>
        <v>2012</v>
      </c>
    </row>
    <row r="108" spans="15:18" ht="15.75" x14ac:dyDescent="0.25">
      <c r="O108" s="15" t="s">
        <v>3</v>
      </c>
      <c r="P108" s="16">
        <v>40931</v>
      </c>
      <c r="Q108" t="str">
        <f t="shared" si="2"/>
        <v>01</v>
      </c>
      <c r="R108" t="str">
        <f t="shared" si="3"/>
        <v>2012</v>
      </c>
    </row>
    <row r="109" spans="15:18" ht="15.75" x14ac:dyDescent="0.25">
      <c r="O109" s="15" t="s">
        <v>4</v>
      </c>
      <c r="P109" s="16">
        <v>40932</v>
      </c>
      <c r="Q109" t="str">
        <f t="shared" si="2"/>
        <v>01</v>
      </c>
      <c r="R109" t="str">
        <f t="shared" si="3"/>
        <v>2012</v>
      </c>
    </row>
    <row r="110" spans="15:18" ht="15.75" x14ac:dyDescent="0.25">
      <c r="O110" s="15" t="s">
        <v>5</v>
      </c>
      <c r="P110" s="16">
        <v>40933</v>
      </c>
      <c r="Q110" t="str">
        <f t="shared" si="2"/>
        <v>01</v>
      </c>
      <c r="R110" t="str">
        <f t="shared" si="3"/>
        <v>2012</v>
      </c>
    </row>
    <row r="111" spans="15:18" ht="15.75" x14ac:dyDescent="0.25">
      <c r="O111" s="15" t="s">
        <v>6</v>
      </c>
      <c r="P111" s="16">
        <v>40934</v>
      </c>
      <c r="Q111" t="str">
        <f t="shared" si="2"/>
        <v>01</v>
      </c>
      <c r="R111" t="str">
        <f t="shared" si="3"/>
        <v>2012</v>
      </c>
    </row>
    <row r="112" spans="15:18" ht="15.75" x14ac:dyDescent="0.25">
      <c r="O112" s="15" t="s">
        <v>7</v>
      </c>
      <c r="P112" s="16">
        <v>40935</v>
      </c>
      <c r="Q112" t="str">
        <f t="shared" si="2"/>
        <v>01</v>
      </c>
      <c r="R112" t="str">
        <f t="shared" si="3"/>
        <v>2012</v>
      </c>
    </row>
    <row r="113" spans="15:18" ht="15.75" x14ac:dyDescent="0.25">
      <c r="O113" s="15" t="s">
        <v>8</v>
      </c>
      <c r="P113" s="16">
        <v>40936</v>
      </c>
      <c r="Q113" t="str">
        <f t="shared" si="2"/>
        <v>01</v>
      </c>
      <c r="R113" t="str">
        <f t="shared" si="3"/>
        <v>2012</v>
      </c>
    </row>
    <row r="114" spans="15:18" ht="15.75" x14ac:dyDescent="0.25">
      <c r="O114" s="15" t="s">
        <v>1</v>
      </c>
      <c r="P114" s="16">
        <v>40937</v>
      </c>
      <c r="Q114" t="str">
        <f t="shared" si="2"/>
        <v>01</v>
      </c>
      <c r="R114" t="str">
        <f t="shared" si="3"/>
        <v>2012</v>
      </c>
    </row>
    <row r="115" spans="15:18" ht="15.75" x14ac:dyDescent="0.25">
      <c r="O115" s="15" t="s">
        <v>2</v>
      </c>
      <c r="P115" s="16">
        <v>40938</v>
      </c>
      <c r="Q115" t="str">
        <f t="shared" si="2"/>
        <v>01</v>
      </c>
      <c r="R115" t="str">
        <f t="shared" si="3"/>
        <v>2012</v>
      </c>
    </row>
    <row r="116" spans="15:18" ht="15.75" x14ac:dyDescent="0.25">
      <c r="O116" s="15" t="s">
        <v>3</v>
      </c>
      <c r="P116" s="16">
        <v>40939</v>
      </c>
      <c r="Q116" t="str">
        <f t="shared" si="2"/>
        <v>01</v>
      </c>
      <c r="R116" t="str">
        <f t="shared" si="3"/>
        <v>2012</v>
      </c>
    </row>
    <row r="117" spans="15:18" ht="15.75" x14ac:dyDescent="0.25">
      <c r="O117" s="15" t="s">
        <v>4</v>
      </c>
      <c r="P117" s="16">
        <v>40940</v>
      </c>
      <c r="Q117" t="str">
        <f t="shared" si="2"/>
        <v>02</v>
      </c>
      <c r="R117" t="str">
        <f t="shared" si="3"/>
        <v>2012</v>
      </c>
    </row>
    <row r="118" spans="15:18" ht="15.75" x14ac:dyDescent="0.25">
      <c r="O118" s="15" t="s">
        <v>5</v>
      </c>
      <c r="P118" s="16">
        <v>40941</v>
      </c>
      <c r="Q118" t="str">
        <f t="shared" si="2"/>
        <v>02</v>
      </c>
      <c r="R118" t="str">
        <f t="shared" si="3"/>
        <v>2012</v>
      </c>
    </row>
    <row r="119" spans="15:18" ht="15.75" x14ac:dyDescent="0.25">
      <c r="O119" s="15" t="s">
        <v>6</v>
      </c>
      <c r="P119" s="16">
        <v>40942</v>
      </c>
      <c r="Q119" t="str">
        <f t="shared" si="2"/>
        <v>02</v>
      </c>
      <c r="R119" t="str">
        <f t="shared" si="3"/>
        <v>2012</v>
      </c>
    </row>
    <row r="120" spans="15:18" ht="15.75" x14ac:dyDescent="0.25">
      <c r="O120" s="15" t="s">
        <v>7</v>
      </c>
      <c r="P120" s="16">
        <v>40943</v>
      </c>
      <c r="Q120" t="str">
        <f t="shared" si="2"/>
        <v>02</v>
      </c>
      <c r="R120" t="str">
        <f t="shared" si="3"/>
        <v>2012</v>
      </c>
    </row>
    <row r="121" spans="15:18" ht="15.75" x14ac:dyDescent="0.25">
      <c r="O121" s="15" t="s">
        <v>8</v>
      </c>
      <c r="P121" s="16">
        <v>40944</v>
      </c>
      <c r="Q121" t="str">
        <f t="shared" si="2"/>
        <v>02</v>
      </c>
      <c r="R121" t="str">
        <f t="shared" si="3"/>
        <v>2012</v>
      </c>
    </row>
    <row r="122" spans="15:18" ht="15.75" x14ac:dyDescent="0.25">
      <c r="O122" s="15" t="s">
        <v>1</v>
      </c>
      <c r="P122" s="16">
        <v>40945</v>
      </c>
      <c r="Q122" t="str">
        <f t="shared" si="2"/>
        <v>02</v>
      </c>
      <c r="R122" t="str">
        <f t="shared" si="3"/>
        <v>2012</v>
      </c>
    </row>
    <row r="123" spans="15:18" ht="15.75" x14ac:dyDescent="0.25">
      <c r="O123" s="15" t="s">
        <v>2</v>
      </c>
      <c r="P123" s="16">
        <v>40946</v>
      </c>
      <c r="Q123" t="str">
        <f t="shared" si="2"/>
        <v>02</v>
      </c>
      <c r="R123" t="str">
        <f t="shared" si="3"/>
        <v>2012</v>
      </c>
    </row>
    <row r="124" spans="15:18" ht="15.75" x14ac:dyDescent="0.25">
      <c r="O124" s="15" t="s">
        <v>3</v>
      </c>
      <c r="P124" s="16">
        <v>40947</v>
      </c>
      <c r="Q124" t="str">
        <f t="shared" si="2"/>
        <v>02</v>
      </c>
      <c r="R124" t="str">
        <f t="shared" si="3"/>
        <v>2012</v>
      </c>
    </row>
    <row r="125" spans="15:18" ht="15.75" x14ac:dyDescent="0.25">
      <c r="O125" s="15" t="s">
        <v>4</v>
      </c>
      <c r="P125" s="16">
        <v>40948</v>
      </c>
      <c r="Q125" t="str">
        <f t="shared" si="2"/>
        <v>02</v>
      </c>
      <c r="R125" t="str">
        <f t="shared" si="3"/>
        <v>2012</v>
      </c>
    </row>
    <row r="126" spans="15:18" ht="15.75" x14ac:dyDescent="0.25">
      <c r="O126" s="15" t="s">
        <v>5</v>
      </c>
      <c r="P126" s="16">
        <v>40949</v>
      </c>
      <c r="Q126" t="str">
        <f t="shared" si="2"/>
        <v>02</v>
      </c>
      <c r="R126" t="str">
        <f t="shared" si="3"/>
        <v>2012</v>
      </c>
    </row>
    <row r="127" spans="15:18" ht="15.75" x14ac:dyDescent="0.25">
      <c r="O127" s="15" t="s">
        <v>6</v>
      </c>
      <c r="P127" s="16">
        <v>40950</v>
      </c>
      <c r="Q127" t="str">
        <f t="shared" si="2"/>
        <v>02</v>
      </c>
      <c r="R127" t="str">
        <f t="shared" si="3"/>
        <v>2012</v>
      </c>
    </row>
    <row r="128" spans="15:18" ht="15.75" x14ac:dyDescent="0.25">
      <c r="O128" s="15" t="s">
        <v>7</v>
      </c>
      <c r="P128" s="16">
        <v>40951</v>
      </c>
      <c r="Q128" t="str">
        <f t="shared" si="2"/>
        <v>02</v>
      </c>
      <c r="R128" t="str">
        <f t="shared" si="3"/>
        <v>2012</v>
      </c>
    </row>
    <row r="129" spans="15:18" ht="15.75" x14ac:dyDescent="0.25">
      <c r="O129" s="15" t="s">
        <v>8</v>
      </c>
      <c r="P129" s="16">
        <v>40952</v>
      </c>
      <c r="Q129" t="str">
        <f t="shared" si="2"/>
        <v>02</v>
      </c>
      <c r="R129" t="str">
        <f t="shared" si="3"/>
        <v>2012</v>
      </c>
    </row>
    <row r="130" spans="15:18" ht="15.75" x14ac:dyDescent="0.25">
      <c r="O130" s="15" t="s">
        <v>1</v>
      </c>
      <c r="P130" s="16">
        <v>40953</v>
      </c>
      <c r="Q130" t="str">
        <f t="shared" si="2"/>
        <v>02</v>
      </c>
      <c r="R130" t="str">
        <f t="shared" si="3"/>
        <v>2012</v>
      </c>
    </row>
    <row r="131" spans="15:18" ht="15.75" x14ac:dyDescent="0.25">
      <c r="O131" s="15" t="s">
        <v>2</v>
      </c>
      <c r="P131" s="16">
        <v>40954</v>
      </c>
      <c r="Q131" t="str">
        <f t="shared" ref="Q131:Q194" si="4">TEXT(P131,"mm")</f>
        <v>02</v>
      </c>
      <c r="R131" t="str">
        <f t="shared" ref="R131:R194" si="5">TEXT(P131,"yyyy")</f>
        <v>2012</v>
      </c>
    </row>
    <row r="132" spans="15:18" ht="15.75" x14ac:dyDescent="0.25">
      <c r="O132" s="15" t="s">
        <v>3</v>
      </c>
      <c r="P132" s="16">
        <v>40955</v>
      </c>
      <c r="Q132" t="str">
        <f t="shared" si="4"/>
        <v>02</v>
      </c>
      <c r="R132" t="str">
        <f t="shared" si="5"/>
        <v>2012</v>
      </c>
    </row>
    <row r="133" spans="15:18" ht="15.75" x14ac:dyDescent="0.25">
      <c r="O133" s="15" t="s">
        <v>4</v>
      </c>
      <c r="P133" s="16">
        <v>40956</v>
      </c>
      <c r="Q133" t="str">
        <f t="shared" si="4"/>
        <v>02</v>
      </c>
      <c r="R133" t="str">
        <f t="shared" si="5"/>
        <v>2012</v>
      </c>
    </row>
    <row r="134" spans="15:18" ht="15.75" x14ac:dyDescent="0.25">
      <c r="O134" s="15" t="s">
        <v>5</v>
      </c>
      <c r="P134" s="16">
        <v>40957</v>
      </c>
      <c r="Q134" t="str">
        <f t="shared" si="4"/>
        <v>02</v>
      </c>
      <c r="R134" t="str">
        <f t="shared" si="5"/>
        <v>2012</v>
      </c>
    </row>
    <row r="135" spans="15:18" ht="15.75" x14ac:dyDescent="0.25">
      <c r="O135" s="15" t="s">
        <v>6</v>
      </c>
      <c r="P135" s="16">
        <v>40958</v>
      </c>
      <c r="Q135" t="str">
        <f t="shared" si="4"/>
        <v>02</v>
      </c>
      <c r="R135" t="str">
        <f t="shared" si="5"/>
        <v>2012</v>
      </c>
    </row>
    <row r="136" spans="15:18" ht="15.75" x14ac:dyDescent="0.25">
      <c r="O136" s="15" t="s">
        <v>7</v>
      </c>
      <c r="P136" s="16">
        <v>40959</v>
      </c>
      <c r="Q136" t="str">
        <f t="shared" si="4"/>
        <v>02</v>
      </c>
      <c r="R136" t="str">
        <f t="shared" si="5"/>
        <v>2012</v>
      </c>
    </row>
    <row r="137" spans="15:18" ht="15.75" x14ac:dyDescent="0.25">
      <c r="O137" s="15" t="s">
        <v>8</v>
      </c>
      <c r="P137" s="16">
        <v>40960</v>
      </c>
      <c r="Q137" t="str">
        <f t="shared" si="4"/>
        <v>02</v>
      </c>
      <c r="R137" t="str">
        <f t="shared" si="5"/>
        <v>2012</v>
      </c>
    </row>
    <row r="138" spans="15:18" ht="15.75" x14ac:dyDescent="0.25">
      <c r="O138" s="15" t="s">
        <v>1</v>
      </c>
      <c r="P138" s="16">
        <v>40961</v>
      </c>
      <c r="Q138" t="str">
        <f t="shared" si="4"/>
        <v>02</v>
      </c>
      <c r="R138" t="str">
        <f t="shared" si="5"/>
        <v>2012</v>
      </c>
    </row>
    <row r="139" spans="15:18" ht="15.75" x14ac:dyDescent="0.25">
      <c r="O139" s="15" t="s">
        <v>2</v>
      </c>
      <c r="P139" s="16">
        <v>40962</v>
      </c>
      <c r="Q139" t="str">
        <f t="shared" si="4"/>
        <v>02</v>
      </c>
      <c r="R139" t="str">
        <f t="shared" si="5"/>
        <v>2012</v>
      </c>
    </row>
    <row r="140" spans="15:18" ht="15.75" x14ac:dyDescent="0.25">
      <c r="O140" s="15" t="s">
        <v>3</v>
      </c>
      <c r="P140" s="16">
        <v>40963</v>
      </c>
      <c r="Q140" t="str">
        <f t="shared" si="4"/>
        <v>02</v>
      </c>
      <c r="R140" t="str">
        <f t="shared" si="5"/>
        <v>2012</v>
      </c>
    </row>
    <row r="141" spans="15:18" ht="15.75" x14ac:dyDescent="0.25">
      <c r="O141" s="15" t="s">
        <v>4</v>
      </c>
      <c r="P141" s="16">
        <v>40964</v>
      </c>
      <c r="Q141" t="str">
        <f t="shared" si="4"/>
        <v>02</v>
      </c>
      <c r="R141" t="str">
        <f t="shared" si="5"/>
        <v>2012</v>
      </c>
    </row>
    <row r="142" spans="15:18" ht="15.75" x14ac:dyDescent="0.25">
      <c r="O142" s="15" t="s">
        <v>5</v>
      </c>
      <c r="P142" s="16">
        <v>40965</v>
      </c>
      <c r="Q142" t="str">
        <f t="shared" si="4"/>
        <v>02</v>
      </c>
      <c r="R142" t="str">
        <f t="shared" si="5"/>
        <v>2012</v>
      </c>
    </row>
    <row r="143" spans="15:18" ht="15.75" x14ac:dyDescent="0.25">
      <c r="O143" s="15" t="s">
        <v>6</v>
      </c>
      <c r="P143" s="16">
        <v>40966</v>
      </c>
      <c r="Q143" t="str">
        <f t="shared" si="4"/>
        <v>02</v>
      </c>
      <c r="R143" t="str">
        <f t="shared" si="5"/>
        <v>2012</v>
      </c>
    </row>
    <row r="144" spans="15:18" ht="15.75" x14ac:dyDescent="0.25">
      <c r="O144" s="15" t="s">
        <v>7</v>
      </c>
      <c r="P144" s="16">
        <v>40967</v>
      </c>
      <c r="Q144" t="str">
        <f t="shared" si="4"/>
        <v>02</v>
      </c>
      <c r="R144" t="str">
        <f t="shared" si="5"/>
        <v>2012</v>
      </c>
    </row>
    <row r="145" spans="15:18" ht="15.75" x14ac:dyDescent="0.25">
      <c r="O145" s="15" t="s">
        <v>8</v>
      </c>
      <c r="P145" s="16">
        <v>40968</v>
      </c>
      <c r="Q145" t="str">
        <f t="shared" si="4"/>
        <v>02</v>
      </c>
      <c r="R145" t="str">
        <f t="shared" si="5"/>
        <v>2012</v>
      </c>
    </row>
    <row r="146" spans="15:18" ht="15.75" x14ac:dyDescent="0.25">
      <c r="O146" s="15" t="s">
        <v>1</v>
      </c>
      <c r="P146" s="16">
        <v>40969</v>
      </c>
      <c r="Q146" t="str">
        <f t="shared" si="4"/>
        <v>03</v>
      </c>
      <c r="R146" t="str">
        <f t="shared" si="5"/>
        <v>2012</v>
      </c>
    </row>
    <row r="147" spans="15:18" ht="15.75" x14ac:dyDescent="0.25">
      <c r="O147" s="15" t="s">
        <v>2</v>
      </c>
      <c r="P147" s="16">
        <v>40970</v>
      </c>
      <c r="Q147" t="str">
        <f t="shared" si="4"/>
        <v>03</v>
      </c>
      <c r="R147" t="str">
        <f t="shared" si="5"/>
        <v>2012</v>
      </c>
    </row>
    <row r="148" spans="15:18" ht="15.75" x14ac:dyDescent="0.25">
      <c r="O148" s="15" t="s">
        <v>3</v>
      </c>
      <c r="P148" s="16">
        <v>40971</v>
      </c>
      <c r="Q148" t="str">
        <f t="shared" si="4"/>
        <v>03</v>
      </c>
      <c r="R148" t="str">
        <f t="shared" si="5"/>
        <v>2012</v>
      </c>
    </row>
    <row r="149" spans="15:18" ht="15.75" x14ac:dyDescent="0.25">
      <c r="O149" s="15" t="s">
        <v>4</v>
      </c>
      <c r="P149" s="16">
        <v>40972</v>
      </c>
      <c r="Q149" t="str">
        <f t="shared" si="4"/>
        <v>03</v>
      </c>
      <c r="R149" t="str">
        <f t="shared" si="5"/>
        <v>2012</v>
      </c>
    </row>
    <row r="150" spans="15:18" ht="15.75" x14ac:dyDescent="0.25">
      <c r="O150" s="15" t="s">
        <v>5</v>
      </c>
      <c r="P150" s="16">
        <v>40973</v>
      </c>
      <c r="Q150" t="str">
        <f t="shared" si="4"/>
        <v>03</v>
      </c>
      <c r="R150" t="str">
        <f t="shared" si="5"/>
        <v>2012</v>
      </c>
    </row>
    <row r="151" spans="15:18" ht="15.75" x14ac:dyDescent="0.25">
      <c r="O151" s="15" t="s">
        <v>6</v>
      </c>
      <c r="P151" s="16">
        <v>40974</v>
      </c>
      <c r="Q151" t="str">
        <f t="shared" si="4"/>
        <v>03</v>
      </c>
      <c r="R151" t="str">
        <f t="shared" si="5"/>
        <v>2012</v>
      </c>
    </row>
    <row r="152" spans="15:18" ht="15.75" x14ac:dyDescent="0.25">
      <c r="O152" s="15" t="s">
        <v>7</v>
      </c>
      <c r="P152" s="16">
        <v>40975</v>
      </c>
      <c r="Q152" t="str">
        <f t="shared" si="4"/>
        <v>03</v>
      </c>
      <c r="R152" t="str">
        <f t="shared" si="5"/>
        <v>2012</v>
      </c>
    </row>
    <row r="153" spans="15:18" ht="15.75" x14ac:dyDescent="0.25">
      <c r="O153" s="15" t="s">
        <v>8</v>
      </c>
      <c r="P153" s="16">
        <v>40976</v>
      </c>
      <c r="Q153" t="str">
        <f t="shared" si="4"/>
        <v>03</v>
      </c>
      <c r="R153" t="str">
        <f t="shared" si="5"/>
        <v>2012</v>
      </c>
    </row>
    <row r="154" spans="15:18" ht="15.75" x14ac:dyDescent="0.25">
      <c r="O154" s="15" t="s">
        <v>1</v>
      </c>
      <c r="P154" s="16">
        <v>40977</v>
      </c>
      <c r="Q154" t="str">
        <f t="shared" si="4"/>
        <v>03</v>
      </c>
      <c r="R154" t="str">
        <f t="shared" si="5"/>
        <v>2012</v>
      </c>
    </row>
    <row r="155" spans="15:18" ht="15.75" x14ac:dyDescent="0.25">
      <c r="O155" s="15" t="s">
        <v>2</v>
      </c>
      <c r="P155" s="16">
        <v>40978</v>
      </c>
      <c r="Q155" t="str">
        <f t="shared" si="4"/>
        <v>03</v>
      </c>
      <c r="R155" t="str">
        <f t="shared" si="5"/>
        <v>2012</v>
      </c>
    </row>
    <row r="156" spans="15:18" ht="15.75" x14ac:dyDescent="0.25">
      <c r="O156" s="15" t="s">
        <v>3</v>
      </c>
      <c r="P156" s="16">
        <v>40979</v>
      </c>
      <c r="Q156" t="str">
        <f t="shared" si="4"/>
        <v>03</v>
      </c>
      <c r="R156" t="str">
        <f t="shared" si="5"/>
        <v>2012</v>
      </c>
    </row>
    <row r="157" spans="15:18" ht="15.75" x14ac:dyDescent="0.25">
      <c r="O157" s="15" t="s">
        <v>4</v>
      </c>
      <c r="P157" s="16">
        <v>40980</v>
      </c>
      <c r="Q157" t="str">
        <f t="shared" si="4"/>
        <v>03</v>
      </c>
      <c r="R157" t="str">
        <f t="shared" si="5"/>
        <v>2012</v>
      </c>
    </row>
    <row r="158" spans="15:18" ht="15.75" x14ac:dyDescent="0.25">
      <c r="O158" s="15" t="s">
        <v>5</v>
      </c>
      <c r="P158" s="16">
        <v>40981</v>
      </c>
      <c r="Q158" t="str">
        <f t="shared" si="4"/>
        <v>03</v>
      </c>
      <c r="R158" t="str">
        <f t="shared" si="5"/>
        <v>2012</v>
      </c>
    </row>
    <row r="159" spans="15:18" ht="15.75" x14ac:dyDescent="0.25">
      <c r="O159" s="15" t="s">
        <v>6</v>
      </c>
      <c r="P159" s="16">
        <v>40982</v>
      </c>
      <c r="Q159" t="str">
        <f t="shared" si="4"/>
        <v>03</v>
      </c>
      <c r="R159" t="str">
        <f t="shared" si="5"/>
        <v>2012</v>
      </c>
    </row>
    <row r="160" spans="15:18" ht="15.75" x14ac:dyDescent="0.25">
      <c r="O160" s="15" t="s">
        <v>7</v>
      </c>
      <c r="P160" s="16">
        <v>40983</v>
      </c>
      <c r="Q160" t="str">
        <f t="shared" si="4"/>
        <v>03</v>
      </c>
      <c r="R160" t="str">
        <f t="shared" si="5"/>
        <v>2012</v>
      </c>
    </row>
    <row r="161" spans="15:18" ht="15.75" x14ac:dyDescent="0.25">
      <c r="O161" s="15" t="s">
        <v>8</v>
      </c>
      <c r="P161" s="16">
        <v>40984</v>
      </c>
      <c r="Q161" t="str">
        <f t="shared" si="4"/>
        <v>03</v>
      </c>
      <c r="R161" t="str">
        <f t="shared" si="5"/>
        <v>2012</v>
      </c>
    </row>
    <row r="162" spans="15:18" ht="15.75" x14ac:dyDescent="0.25">
      <c r="O162" s="15" t="s">
        <v>1</v>
      </c>
      <c r="P162" s="16">
        <v>40985</v>
      </c>
      <c r="Q162" t="str">
        <f t="shared" si="4"/>
        <v>03</v>
      </c>
      <c r="R162" t="str">
        <f t="shared" si="5"/>
        <v>2012</v>
      </c>
    </row>
    <row r="163" spans="15:18" ht="15.75" x14ac:dyDescent="0.25">
      <c r="O163" s="15" t="s">
        <v>2</v>
      </c>
      <c r="P163" s="16">
        <v>40986</v>
      </c>
      <c r="Q163" t="str">
        <f t="shared" si="4"/>
        <v>03</v>
      </c>
      <c r="R163" t="str">
        <f t="shared" si="5"/>
        <v>2012</v>
      </c>
    </row>
    <row r="164" spans="15:18" ht="15.75" x14ac:dyDescent="0.25">
      <c r="O164" s="15" t="s">
        <v>3</v>
      </c>
      <c r="P164" s="16">
        <v>40987</v>
      </c>
      <c r="Q164" t="str">
        <f t="shared" si="4"/>
        <v>03</v>
      </c>
      <c r="R164" t="str">
        <f t="shared" si="5"/>
        <v>2012</v>
      </c>
    </row>
    <row r="165" spans="15:18" ht="15.75" x14ac:dyDescent="0.25">
      <c r="O165" s="15" t="s">
        <v>4</v>
      </c>
      <c r="P165" s="16">
        <v>40988</v>
      </c>
      <c r="Q165" t="str">
        <f t="shared" si="4"/>
        <v>03</v>
      </c>
      <c r="R165" t="str">
        <f t="shared" si="5"/>
        <v>2012</v>
      </c>
    </row>
    <row r="166" spans="15:18" ht="15.75" x14ac:dyDescent="0.25">
      <c r="O166" s="15" t="s">
        <v>5</v>
      </c>
      <c r="P166" s="16">
        <v>40989</v>
      </c>
      <c r="Q166" t="str">
        <f t="shared" si="4"/>
        <v>03</v>
      </c>
      <c r="R166" t="str">
        <f t="shared" si="5"/>
        <v>2012</v>
      </c>
    </row>
    <row r="167" spans="15:18" ht="15.75" x14ac:dyDescent="0.25">
      <c r="O167" s="15" t="s">
        <v>6</v>
      </c>
      <c r="P167" s="16">
        <v>40990</v>
      </c>
      <c r="Q167" t="str">
        <f t="shared" si="4"/>
        <v>03</v>
      </c>
      <c r="R167" t="str">
        <f t="shared" si="5"/>
        <v>2012</v>
      </c>
    </row>
    <row r="168" spans="15:18" ht="15.75" x14ac:dyDescent="0.25">
      <c r="O168" s="15" t="s">
        <v>7</v>
      </c>
      <c r="P168" s="16">
        <v>40991</v>
      </c>
      <c r="Q168" t="str">
        <f t="shared" si="4"/>
        <v>03</v>
      </c>
      <c r="R168" t="str">
        <f t="shared" si="5"/>
        <v>2012</v>
      </c>
    </row>
    <row r="169" spans="15:18" ht="15.75" x14ac:dyDescent="0.25">
      <c r="O169" s="15" t="s">
        <v>8</v>
      </c>
      <c r="P169" s="16">
        <v>40992</v>
      </c>
      <c r="Q169" t="str">
        <f t="shared" si="4"/>
        <v>03</v>
      </c>
      <c r="R169" t="str">
        <f t="shared" si="5"/>
        <v>2012</v>
      </c>
    </row>
    <row r="170" spans="15:18" ht="15.75" x14ac:dyDescent="0.25">
      <c r="O170" s="15" t="s">
        <v>1</v>
      </c>
      <c r="P170" s="16">
        <v>40993</v>
      </c>
      <c r="Q170" t="str">
        <f t="shared" si="4"/>
        <v>03</v>
      </c>
      <c r="R170" t="str">
        <f t="shared" si="5"/>
        <v>2012</v>
      </c>
    </row>
    <row r="171" spans="15:18" ht="15.75" x14ac:dyDescent="0.25">
      <c r="O171" s="15" t="s">
        <v>2</v>
      </c>
      <c r="P171" s="16">
        <v>40994</v>
      </c>
      <c r="Q171" t="str">
        <f t="shared" si="4"/>
        <v>03</v>
      </c>
      <c r="R171" t="str">
        <f t="shared" si="5"/>
        <v>2012</v>
      </c>
    </row>
    <row r="172" spans="15:18" ht="15.75" x14ac:dyDescent="0.25">
      <c r="O172" s="15" t="s">
        <v>3</v>
      </c>
      <c r="P172" s="16">
        <v>40995</v>
      </c>
      <c r="Q172" t="str">
        <f t="shared" si="4"/>
        <v>03</v>
      </c>
      <c r="R172" t="str">
        <f t="shared" si="5"/>
        <v>2012</v>
      </c>
    </row>
    <row r="173" spans="15:18" ht="15.75" x14ac:dyDescent="0.25">
      <c r="O173" s="15" t="s">
        <v>4</v>
      </c>
      <c r="P173" s="16">
        <v>40996</v>
      </c>
      <c r="Q173" t="str">
        <f t="shared" si="4"/>
        <v>03</v>
      </c>
      <c r="R173" t="str">
        <f t="shared" si="5"/>
        <v>2012</v>
      </c>
    </row>
    <row r="174" spans="15:18" ht="15.75" x14ac:dyDescent="0.25">
      <c r="O174" s="15" t="s">
        <v>5</v>
      </c>
      <c r="P174" s="16">
        <v>40997</v>
      </c>
      <c r="Q174" t="str">
        <f t="shared" si="4"/>
        <v>03</v>
      </c>
      <c r="R174" t="str">
        <f t="shared" si="5"/>
        <v>2012</v>
      </c>
    </row>
    <row r="175" spans="15:18" ht="15.75" x14ac:dyDescent="0.25">
      <c r="O175" s="15" t="s">
        <v>6</v>
      </c>
      <c r="P175" s="16">
        <v>40998</v>
      </c>
      <c r="Q175" t="str">
        <f t="shared" si="4"/>
        <v>03</v>
      </c>
      <c r="R175" t="str">
        <f t="shared" si="5"/>
        <v>2012</v>
      </c>
    </row>
    <row r="176" spans="15:18" ht="15.75" x14ac:dyDescent="0.25">
      <c r="O176" s="15" t="s">
        <v>7</v>
      </c>
      <c r="P176" s="16">
        <v>40999</v>
      </c>
      <c r="Q176" t="str">
        <f t="shared" si="4"/>
        <v>03</v>
      </c>
      <c r="R176" t="str">
        <f t="shared" si="5"/>
        <v>2012</v>
      </c>
    </row>
    <row r="177" spans="15:18" ht="15.75" x14ac:dyDescent="0.25">
      <c r="O177" s="15" t="s">
        <v>8</v>
      </c>
      <c r="P177" s="16">
        <v>41000</v>
      </c>
      <c r="Q177" t="str">
        <f t="shared" si="4"/>
        <v>04</v>
      </c>
      <c r="R177" t="str">
        <f t="shared" si="5"/>
        <v>2012</v>
      </c>
    </row>
    <row r="178" spans="15:18" ht="15.75" x14ac:dyDescent="0.25">
      <c r="O178" s="15" t="s">
        <v>1</v>
      </c>
      <c r="P178" s="16">
        <v>41001</v>
      </c>
      <c r="Q178" t="str">
        <f t="shared" si="4"/>
        <v>04</v>
      </c>
      <c r="R178" t="str">
        <f t="shared" si="5"/>
        <v>2012</v>
      </c>
    </row>
    <row r="179" spans="15:18" ht="15.75" x14ac:dyDescent="0.25">
      <c r="O179" s="15" t="s">
        <v>2</v>
      </c>
      <c r="P179" s="16">
        <v>41002</v>
      </c>
      <c r="Q179" t="str">
        <f t="shared" si="4"/>
        <v>04</v>
      </c>
      <c r="R179" t="str">
        <f t="shared" si="5"/>
        <v>2012</v>
      </c>
    </row>
    <row r="180" spans="15:18" ht="15.75" x14ac:dyDescent="0.25">
      <c r="O180" s="15" t="s">
        <v>3</v>
      </c>
      <c r="P180" s="16">
        <v>41003</v>
      </c>
      <c r="Q180" t="str">
        <f t="shared" si="4"/>
        <v>04</v>
      </c>
      <c r="R180" t="str">
        <f t="shared" si="5"/>
        <v>2012</v>
      </c>
    </row>
    <row r="181" spans="15:18" ht="15.75" x14ac:dyDescent="0.25">
      <c r="O181" s="15" t="s">
        <v>4</v>
      </c>
      <c r="P181" s="16">
        <v>41004</v>
      </c>
      <c r="Q181" t="str">
        <f t="shared" si="4"/>
        <v>04</v>
      </c>
      <c r="R181" t="str">
        <f t="shared" si="5"/>
        <v>2012</v>
      </c>
    </row>
    <row r="182" spans="15:18" ht="15.75" x14ac:dyDescent="0.25">
      <c r="O182" s="15" t="s">
        <v>5</v>
      </c>
      <c r="P182" s="16">
        <v>41005</v>
      </c>
      <c r="Q182" t="str">
        <f t="shared" si="4"/>
        <v>04</v>
      </c>
      <c r="R182" t="str">
        <f t="shared" si="5"/>
        <v>2012</v>
      </c>
    </row>
    <row r="183" spans="15:18" ht="15.75" x14ac:dyDescent="0.25">
      <c r="O183" s="15" t="s">
        <v>6</v>
      </c>
      <c r="P183" s="16">
        <v>41006</v>
      </c>
      <c r="Q183" t="str">
        <f t="shared" si="4"/>
        <v>04</v>
      </c>
      <c r="R183" t="str">
        <f t="shared" si="5"/>
        <v>2012</v>
      </c>
    </row>
    <row r="184" spans="15:18" ht="15.75" x14ac:dyDescent="0.25">
      <c r="O184" s="15" t="s">
        <v>7</v>
      </c>
      <c r="P184" s="16">
        <v>41007</v>
      </c>
      <c r="Q184" t="str">
        <f t="shared" si="4"/>
        <v>04</v>
      </c>
      <c r="R184" t="str">
        <f t="shared" si="5"/>
        <v>2012</v>
      </c>
    </row>
    <row r="185" spans="15:18" ht="15.75" x14ac:dyDescent="0.25">
      <c r="O185" s="15" t="s">
        <v>8</v>
      </c>
      <c r="P185" s="16">
        <v>41008</v>
      </c>
      <c r="Q185" t="str">
        <f t="shared" si="4"/>
        <v>04</v>
      </c>
      <c r="R185" t="str">
        <f t="shared" si="5"/>
        <v>2012</v>
      </c>
    </row>
    <row r="186" spans="15:18" ht="15.75" x14ac:dyDescent="0.25">
      <c r="O186" s="15" t="s">
        <v>1</v>
      </c>
      <c r="P186" s="16">
        <v>41009</v>
      </c>
      <c r="Q186" t="str">
        <f t="shared" si="4"/>
        <v>04</v>
      </c>
      <c r="R186" t="str">
        <f t="shared" si="5"/>
        <v>2012</v>
      </c>
    </row>
    <row r="187" spans="15:18" ht="15.75" x14ac:dyDescent="0.25">
      <c r="O187" s="15" t="s">
        <v>2</v>
      </c>
      <c r="P187" s="16">
        <v>41010</v>
      </c>
      <c r="Q187" t="str">
        <f t="shared" si="4"/>
        <v>04</v>
      </c>
      <c r="R187" t="str">
        <f t="shared" si="5"/>
        <v>2012</v>
      </c>
    </row>
    <row r="188" spans="15:18" ht="15.75" x14ac:dyDescent="0.25">
      <c r="O188" s="15" t="s">
        <v>3</v>
      </c>
      <c r="P188" s="16">
        <v>41011</v>
      </c>
      <c r="Q188" t="str">
        <f t="shared" si="4"/>
        <v>04</v>
      </c>
      <c r="R188" t="str">
        <f t="shared" si="5"/>
        <v>2012</v>
      </c>
    </row>
    <row r="189" spans="15:18" ht="15.75" x14ac:dyDescent="0.25">
      <c r="O189" s="15" t="s">
        <v>4</v>
      </c>
      <c r="P189" s="16">
        <v>41012</v>
      </c>
      <c r="Q189" t="str">
        <f t="shared" si="4"/>
        <v>04</v>
      </c>
      <c r="R189" t="str">
        <f t="shared" si="5"/>
        <v>2012</v>
      </c>
    </row>
    <row r="190" spans="15:18" ht="15.75" x14ac:dyDescent="0.25">
      <c r="O190" s="15" t="s">
        <v>5</v>
      </c>
      <c r="P190" s="16">
        <v>41013</v>
      </c>
      <c r="Q190" t="str">
        <f t="shared" si="4"/>
        <v>04</v>
      </c>
      <c r="R190" t="str">
        <f t="shared" si="5"/>
        <v>2012</v>
      </c>
    </row>
    <row r="191" spans="15:18" ht="15.75" x14ac:dyDescent="0.25">
      <c r="O191" s="15" t="s">
        <v>6</v>
      </c>
      <c r="P191" s="16">
        <v>41014</v>
      </c>
      <c r="Q191" t="str">
        <f t="shared" si="4"/>
        <v>04</v>
      </c>
      <c r="R191" t="str">
        <f t="shared" si="5"/>
        <v>2012</v>
      </c>
    </row>
    <row r="192" spans="15:18" ht="15.75" x14ac:dyDescent="0.25">
      <c r="O192" s="15" t="s">
        <v>7</v>
      </c>
      <c r="P192" s="16">
        <v>41015</v>
      </c>
      <c r="Q192" t="str">
        <f t="shared" si="4"/>
        <v>04</v>
      </c>
      <c r="R192" t="str">
        <f t="shared" si="5"/>
        <v>2012</v>
      </c>
    </row>
    <row r="193" spans="15:18" ht="15.75" x14ac:dyDescent="0.25">
      <c r="O193" s="15" t="s">
        <v>8</v>
      </c>
      <c r="P193" s="16">
        <v>41016</v>
      </c>
      <c r="Q193" t="str">
        <f t="shared" si="4"/>
        <v>04</v>
      </c>
      <c r="R193" t="str">
        <f t="shared" si="5"/>
        <v>2012</v>
      </c>
    </row>
    <row r="194" spans="15:18" ht="15.75" x14ac:dyDescent="0.25">
      <c r="O194" s="15" t="s">
        <v>1</v>
      </c>
      <c r="P194" s="16">
        <v>41017</v>
      </c>
      <c r="Q194" t="str">
        <f t="shared" si="4"/>
        <v>04</v>
      </c>
      <c r="R194" t="str">
        <f t="shared" si="5"/>
        <v>2012</v>
      </c>
    </row>
    <row r="195" spans="15:18" ht="15.75" x14ac:dyDescent="0.25">
      <c r="O195" s="15" t="s">
        <v>2</v>
      </c>
      <c r="P195" s="16">
        <v>41018</v>
      </c>
      <c r="Q195" t="str">
        <f t="shared" ref="Q195:Q258" si="6">TEXT(P195,"mm")</f>
        <v>04</v>
      </c>
      <c r="R195" t="str">
        <f t="shared" ref="R195:R258" si="7">TEXT(P195,"yyyy")</f>
        <v>2012</v>
      </c>
    </row>
    <row r="196" spans="15:18" ht="15.75" x14ac:dyDescent="0.25">
      <c r="O196" s="15" t="s">
        <v>3</v>
      </c>
      <c r="P196" s="16">
        <v>41019</v>
      </c>
      <c r="Q196" t="str">
        <f t="shared" si="6"/>
        <v>04</v>
      </c>
      <c r="R196" t="str">
        <f t="shared" si="7"/>
        <v>2012</v>
      </c>
    </row>
    <row r="197" spans="15:18" ht="15.75" x14ac:dyDescent="0.25">
      <c r="O197" s="15" t="s">
        <v>4</v>
      </c>
      <c r="P197" s="16">
        <v>41020</v>
      </c>
      <c r="Q197" t="str">
        <f t="shared" si="6"/>
        <v>04</v>
      </c>
      <c r="R197" t="str">
        <f t="shared" si="7"/>
        <v>2012</v>
      </c>
    </row>
    <row r="198" spans="15:18" ht="15.75" x14ac:dyDescent="0.25">
      <c r="O198" s="15" t="s">
        <v>5</v>
      </c>
      <c r="P198" s="16">
        <v>41021</v>
      </c>
      <c r="Q198" t="str">
        <f t="shared" si="6"/>
        <v>04</v>
      </c>
      <c r="R198" t="str">
        <f t="shared" si="7"/>
        <v>2012</v>
      </c>
    </row>
    <row r="199" spans="15:18" ht="15.75" x14ac:dyDescent="0.25">
      <c r="O199" s="15" t="s">
        <v>6</v>
      </c>
      <c r="P199" s="16">
        <v>41022</v>
      </c>
      <c r="Q199" t="str">
        <f t="shared" si="6"/>
        <v>04</v>
      </c>
      <c r="R199" t="str">
        <f t="shared" si="7"/>
        <v>2012</v>
      </c>
    </row>
    <row r="200" spans="15:18" ht="15.75" x14ac:dyDescent="0.25">
      <c r="O200" s="15" t="s">
        <v>7</v>
      </c>
      <c r="P200" s="16">
        <v>41023</v>
      </c>
      <c r="Q200" t="str">
        <f t="shared" si="6"/>
        <v>04</v>
      </c>
      <c r="R200" t="str">
        <f t="shared" si="7"/>
        <v>2012</v>
      </c>
    </row>
    <row r="201" spans="15:18" ht="15.75" x14ac:dyDescent="0.25">
      <c r="O201" s="15" t="s">
        <v>8</v>
      </c>
      <c r="P201" s="16">
        <v>41024</v>
      </c>
      <c r="Q201" t="str">
        <f t="shared" si="6"/>
        <v>04</v>
      </c>
      <c r="R201" t="str">
        <f t="shared" si="7"/>
        <v>2012</v>
      </c>
    </row>
    <row r="202" spans="15:18" ht="15.75" x14ac:dyDescent="0.25">
      <c r="O202" s="15" t="s">
        <v>1</v>
      </c>
      <c r="P202" s="16">
        <v>41025</v>
      </c>
      <c r="Q202" t="str">
        <f t="shared" si="6"/>
        <v>04</v>
      </c>
      <c r="R202" t="str">
        <f t="shared" si="7"/>
        <v>2012</v>
      </c>
    </row>
    <row r="203" spans="15:18" ht="15.75" x14ac:dyDescent="0.25">
      <c r="O203" s="15" t="s">
        <v>2</v>
      </c>
      <c r="P203" s="16">
        <v>41026</v>
      </c>
      <c r="Q203" t="str">
        <f t="shared" si="6"/>
        <v>04</v>
      </c>
      <c r="R203" t="str">
        <f t="shared" si="7"/>
        <v>2012</v>
      </c>
    </row>
    <row r="204" spans="15:18" ht="15.75" x14ac:dyDescent="0.25">
      <c r="O204" s="15" t="s">
        <v>3</v>
      </c>
      <c r="P204" s="16">
        <v>41027</v>
      </c>
      <c r="Q204" t="str">
        <f t="shared" si="6"/>
        <v>04</v>
      </c>
      <c r="R204" t="str">
        <f t="shared" si="7"/>
        <v>2012</v>
      </c>
    </row>
    <row r="205" spans="15:18" ht="15.75" x14ac:dyDescent="0.25">
      <c r="O205" s="15" t="s">
        <v>4</v>
      </c>
      <c r="P205" s="16">
        <v>41028</v>
      </c>
      <c r="Q205" t="str">
        <f t="shared" si="6"/>
        <v>04</v>
      </c>
      <c r="R205" t="str">
        <f t="shared" si="7"/>
        <v>2012</v>
      </c>
    </row>
    <row r="206" spans="15:18" ht="15.75" x14ac:dyDescent="0.25">
      <c r="O206" s="15" t="s">
        <v>5</v>
      </c>
      <c r="P206" s="16">
        <v>41029</v>
      </c>
      <c r="Q206" t="str">
        <f t="shared" si="6"/>
        <v>04</v>
      </c>
      <c r="R206" t="str">
        <f t="shared" si="7"/>
        <v>2012</v>
      </c>
    </row>
    <row r="207" spans="15:18" ht="15.75" x14ac:dyDescent="0.25">
      <c r="O207" s="15" t="s">
        <v>6</v>
      </c>
      <c r="P207" s="16">
        <v>41030</v>
      </c>
      <c r="Q207" t="str">
        <f t="shared" si="6"/>
        <v>05</v>
      </c>
      <c r="R207" t="str">
        <f t="shared" si="7"/>
        <v>2012</v>
      </c>
    </row>
    <row r="208" spans="15:18" ht="15.75" x14ac:dyDescent="0.25">
      <c r="O208" s="15" t="s">
        <v>7</v>
      </c>
      <c r="P208" s="16">
        <v>41031</v>
      </c>
      <c r="Q208" t="str">
        <f t="shared" si="6"/>
        <v>05</v>
      </c>
      <c r="R208" t="str">
        <f t="shared" si="7"/>
        <v>2012</v>
      </c>
    </row>
    <row r="209" spans="15:18" ht="15.75" x14ac:dyDescent="0.25">
      <c r="O209" s="15" t="s">
        <v>8</v>
      </c>
      <c r="P209" s="16">
        <v>41032</v>
      </c>
      <c r="Q209" t="str">
        <f t="shared" si="6"/>
        <v>05</v>
      </c>
      <c r="R209" t="str">
        <f t="shared" si="7"/>
        <v>2012</v>
      </c>
    </row>
    <row r="210" spans="15:18" ht="15.75" x14ac:dyDescent="0.25">
      <c r="O210" s="15" t="s">
        <v>1</v>
      </c>
      <c r="P210" s="16">
        <v>41033</v>
      </c>
      <c r="Q210" t="str">
        <f t="shared" si="6"/>
        <v>05</v>
      </c>
      <c r="R210" t="str">
        <f t="shared" si="7"/>
        <v>2012</v>
      </c>
    </row>
    <row r="211" spans="15:18" ht="15.75" x14ac:dyDescent="0.25">
      <c r="O211" s="15" t="s">
        <v>2</v>
      </c>
      <c r="P211" s="16">
        <v>41034</v>
      </c>
      <c r="Q211" t="str">
        <f t="shared" si="6"/>
        <v>05</v>
      </c>
      <c r="R211" t="str">
        <f t="shared" si="7"/>
        <v>2012</v>
      </c>
    </row>
    <row r="212" spans="15:18" ht="15.75" x14ac:dyDescent="0.25">
      <c r="O212" s="15" t="s">
        <v>3</v>
      </c>
      <c r="P212" s="16">
        <v>41035</v>
      </c>
      <c r="Q212" t="str">
        <f t="shared" si="6"/>
        <v>05</v>
      </c>
      <c r="R212" t="str">
        <f t="shared" si="7"/>
        <v>2012</v>
      </c>
    </row>
    <row r="213" spans="15:18" ht="15.75" x14ac:dyDescent="0.25">
      <c r="O213" s="15" t="s">
        <v>4</v>
      </c>
      <c r="P213" s="16">
        <v>41036</v>
      </c>
      <c r="Q213" t="str">
        <f t="shared" si="6"/>
        <v>05</v>
      </c>
      <c r="R213" t="str">
        <f t="shared" si="7"/>
        <v>2012</v>
      </c>
    </row>
    <row r="214" spans="15:18" ht="15.75" x14ac:dyDescent="0.25">
      <c r="O214" s="15" t="s">
        <v>5</v>
      </c>
      <c r="P214" s="16">
        <v>41037</v>
      </c>
      <c r="Q214" t="str">
        <f t="shared" si="6"/>
        <v>05</v>
      </c>
      <c r="R214" t="str">
        <f t="shared" si="7"/>
        <v>2012</v>
      </c>
    </row>
    <row r="215" spans="15:18" ht="15.75" x14ac:dyDescent="0.25">
      <c r="O215" s="15" t="s">
        <v>6</v>
      </c>
      <c r="P215" s="16">
        <v>41038</v>
      </c>
      <c r="Q215" t="str">
        <f t="shared" si="6"/>
        <v>05</v>
      </c>
      <c r="R215" t="str">
        <f t="shared" si="7"/>
        <v>2012</v>
      </c>
    </row>
    <row r="216" spans="15:18" ht="15.75" x14ac:dyDescent="0.25">
      <c r="O216" s="15" t="s">
        <v>7</v>
      </c>
      <c r="P216" s="16">
        <v>41039</v>
      </c>
      <c r="Q216" t="str">
        <f t="shared" si="6"/>
        <v>05</v>
      </c>
      <c r="R216" t="str">
        <f t="shared" si="7"/>
        <v>2012</v>
      </c>
    </row>
    <row r="217" spans="15:18" ht="15.75" x14ac:dyDescent="0.25">
      <c r="O217" s="15" t="s">
        <v>8</v>
      </c>
      <c r="P217" s="16">
        <v>41040</v>
      </c>
      <c r="Q217" t="str">
        <f t="shared" si="6"/>
        <v>05</v>
      </c>
      <c r="R217" t="str">
        <f t="shared" si="7"/>
        <v>2012</v>
      </c>
    </row>
    <row r="218" spans="15:18" ht="15.75" x14ac:dyDescent="0.25">
      <c r="O218" s="15" t="s">
        <v>1</v>
      </c>
      <c r="P218" s="16">
        <v>41041</v>
      </c>
      <c r="Q218" t="str">
        <f t="shared" si="6"/>
        <v>05</v>
      </c>
      <c r="R218" t="str">
        <f t="shared" si="7"/>
        <v>2012</v>
      </c>
    </row>
    <row r="219" spans="15:18" ht="15.75" x14ac:dyDescent="0.25">
      <c r="O219" s="15" t="s">
        <v>2</v>
      </c>
      <c r="P219" s="16">
        <v>41042</v>
      </c>
      <c r="Q219" t="str">
        <f t="shared" si="6"/>
        <v>05</v>
      </c>
      <c r="R219" t="str">
        <f t="shared" si="7"/>
        <v>2012</v>
      </c>
    </row>
    <row r="220" spans="15:18" ht="15.75" x14ac:dyDescent="0.25">
      <c r="O220" s="15" t="s">
        <v>3</v>
      </c>
      <c r="P220" s="16">
        <v>41043</v>
      </c>
      <c r="Q220" t="str">
        <f t="shared" si="6"/>
        <v>05</v>
      </c>
      <c r="R220" t="str">
        <f t="shared" si="7"/>
        <v>2012</v>
      </c>
    </row>
    <row r="221" spans="15:18" ht="15.75" x14ac:dyDescent="0.25">
      <c r="O221" s="15" t="s">
        <v>4</v>
      </c>
      <c r="P221" s="16">
        <v>41044</v>
      </c>
      <c r="Q221" t="str">
        <f t="shared" si="6"/>
        <v>05</v>
      </c>
      <c r="R221" t="str">
        <f t="shared" si="7"/>
        <v>2012</v>
      </c>
    </row>
    <row r="222" spans="15:18" ht="15.75" x14ac:dyDescent="0.25">
      <c r="O222" s="15" t="s">
        <v>5</v>
      </c>
      <c r="P222" s="16">
        <v>41045</v>
      </c>
      <c r="Q222" t="str">
        <f t="shared" si="6"/>
        <v>05</v>
      </c>
      <c r="R222" t="str">
        <f t="shared" si="7"/>
        <v>2012</v>
      </c>
    </row>
    <row r="223" spans="15:18" ht="15.75" x14ac:dyDescent="0.25">
      <c r="O223" s="15" t="s">
        <v>6</v>
      </c>
      <c r="P223" s="16">
        <v>41046</v>
      </c>
      <c r="Q223" t="str">
        <f t="shared" si="6"/>
        <v>05</v>
      </c>
      <c r="R223" t="str">
        <f t="shared" si="7"/>
        <v>2012</v>
      </c>
    </row>
    <row r="224" spans="15:18" ht="15.75" x14ac:dyDescent="0.25">
      <c r="O224" s="15" t="s">
        <v>7</v>
      </c>
      <c r="P224" s="16">
        <v>41047</v>
      </c>
      <c r="Q224" t="str">
        <f t="shared" si="6"/>
        <v>05</v>
      </c>
      <c r="R224" t="str">
        <f t="shared" si="7"/>
        <v>2012</v>
      </c>
    </row>
    <row r="225" spans="15:18" ht="15.75" x14ac:dyDescent="0.25">
      <c r="O225" s="15" t="s">
        <v>8</v>
      </c>
      <c r="P225" s="16">
        <v>41048</v>
      </c>
      <c r="Q225" t="str">
        <f t="shared" si="6"/>
        <v>05</v>
      </c>
      <c r="R225" t="str">
        <f t="shared" si="7"/>
        <v>2012</v>
      </c>
    </row>
    <row r="226" spans="15:18" ht="15.75" x14ac:dyDescent="0.25">
      <c r="O226" s="15" t="s">
        <v>1</v>
      </c>
      <c r="P226" s="16">
        <v>41049</v>
      </c>
      <c r="Q226" t="str">
        <f t="shared" si="6"/>
        <v>05</v>
      </c>
      <c r="R226" t="str">
        <f t="shared" si="7"/>
        <v>2012</v>
      </c>
    </row>
    <row r="227" spans="15:18" ht="15.75" x14ac:dyDescent="0.25">
      <c r="O227" s="15" t="s">
        <v>2</v>
      </c>
      <c r="P227" s="16">
        <v>41050</v>
      </c>
      <c r="Q227" t="str">
        <f t="shared" si="6"/>
        <v>05</v>
      </c>
      <c r="R227" t="str">
        <f t="shared" si="7"/>
        <v>2012</v>
      </c>
    </row>
    <row r="228" spans="15:18" ht="15.75" x14ac:dyDescent="0.25">
      <c r="O228" s="15" t="s">
        <v>3</v>
      </c>
      <c r="P228" s="16">
        <v>41051</v>
      </c>
      <c r="Q228" t="str">
        <f t="shared" si="6"/>
        <v>05</v>
      </c>
      <c r="R228" t="str">
        <f t="shared" si="7"/>
        <v>2012</v>
      </c>
    </row>
    <row r="229" spans="15:18" ht="15.75" x14ac:dyDescent="0.25">
      <c r="O229" s="15" t="s">
        <v>4</v>
      </c>
      <c r="P229" s="16">
        <v>41052</v>
      </c>
      <c r="Q229" t="str">
        <f t="shared" si="6"/>
        <v>05</v>
      </c>
      <c r="R229" t="str">
        <f t="shared" si="7"/>
        <v>2012</v>
      </c>
    </row>
    <row r="230" spans="15:18" ht="15.75" x14ac:dyDescent="0.25">
      <c r="O230" s="15" t="s">
        <v>5</v>
      </c>
      <c r="P230" s="16">
        <v>41053</v>
      </c>
      <c r="Q230" t="str">
        <f t="shared" si="6"/>
        <v>05</v>
      </c>
      <c r="R230" t="str">
        <f t="shared" si="7"/>
        <v>2012</v>
      </c>
    </row>
    <row r="231" spans="15:18" ht="15.75" x14ac:dyDescent="0.25">
      <c r="O231" s="15" t="s">
        <v>6</v>
      </c>
      <c r="P231" s="16">
        <v>41054</v>
      </c>
      <c r="Q231" t="str">
        <f t="shared" si="6"/>
        <v>05</v>
      </c>
      <c r="R231" t="str">
        <f t="shared" si="7"/>
        <v>2012</v>
      </c>
    </row>
    <row r="232" spans="15:18" ht="15.75" x14ac:dyDescent="0.25">
      <c r="O232" s="15" t="s">
        <v>7</v>
      </c>
      <c r="P232" s="16">
        <v>41055</v>
      </c>
      <c r="Q232" t="str">
        <f t="shared" si="6"/>
        <v>05</v>
      </c>
      <c r="R232" t="str">
        <f t="shared" si="7"/>
        <v>2012</v>
      </c>
    </row>
    <row r="233" spans="15:18" ht="15.75" x14ac:dyDescent="0.25">
      <c r="O233" s="15" t="s">
        <v>8</v>
      </c>
      <c r="P233" s="16">
        <v>41056</v>
      </c>
      <c r="Q233" t="str">
        <f t="shared" si="6"/>
        <v>05</v>
      </c>
      <c r="R233" t="str">
        <f t="shared" si="7"/>
        <v>2012</v>
      </c>
    </row>
    <row r="234" spans="15:18" ht="15.75" x14ac:dyDescent="0.25">
      <c r="O234" s="15" t="s">
        <v>1</v>
      </c>
      <c r="P234" s="16">
        <v>41057</v>
      </c>
      <c r="Q234" t="str">
        <f t="shared" si="6"/>
        <v>05</v>
      </c>
      <c r="R234" t="str">
        <f t="shared" si="7"/>
        <v>2012</v>
      </c>
    </row>
    <row r="235" spans="15:18" ht="15.75" x14ac:dyDescent="0.25">
      <c r="O235" s="15" t="s">
        <v>2</v>
      </c>
      <c r="P235" s="16">
        <v>41058</v>
      </c>
      <c r="Q235" t="str">
        <f t="shared" si="6"/>
        <v>05</v>
      </c>
      <c r="R235" t="str">
        <f t="shared" si="7"/>
        <v>2012</v>
      </c>
    </row>
    <row r="236" spans="15:18" ht="15.75" x14ac:dyDescent="0.25">
      <c r="O236" s="15" t="s">
        <v>3</v>
      </c>
      <c r="P236" s="16">
        <v>41059</v>
      </c>
      <c r="Q236" t="str">
        <f t="shared" si="6"/>
        <v>05</v>
      </c>
      <c r="R236" t="str">
        <f t="shared" si="7"/>
        <v>2012</v>
      </c>
    </row>
    <row r="237" spans="15:18" ht="15.75" x14ac:dyDescent="0.25">
      <c r="O237" s="15" t="s">
        <v>4</v>
      </c>
      <c r="P237" s="16">
        <v>41060</v>
      </c>
      <c r="Q237" t="str">
        <f t="shared" si="6"/>
        <v>05</v>
      </c>
      <c r="R237" t="str">
        <f t="shared" si="7"/>
        <v>2012</v>
      </c>
    </row>
    <row r="238" spans="15:18" ht="15.75" x14ac:dyDescent="0.25">
      <c r="O238" s="15" t="s">
        <v>5</v>
      </c>
      <c r="P238" s="16">
        <v>41061</v>
      </c>
      <c r="Q238" t="str">
        <f t="shared" si="6"/>
        <v>06</v>
      </c>
      <c r="R238" t="str">
        <f t="shared" si="7"/>
        <v>2012</v>
      </c>
    </row>
    <row r="239" spans="15:18" ht="15.75" x14ac:dyDescent="0.25">
      <c r="O239" s="15" t="s">
        <v>6</v>
      </c>
      <c r="P239" s="16">
        <v>41062</v>
      </c>
      <c r="Q239" t="str">
        <f t="shared" si="6"/>
        <v>06</v>
      </c>
      <c r="R239" t="str">
        <f t="shared" si="7"/>
        <v>2012</v>
      </c>
    </row>
    <row r="240" spans="15:18" ht="15.75" x14ac:dyDescent="0.25">
      <c r="O240" s="15" t="s">
        <v>7</v>
      </c>
      <c r="P240" s="16">
        <v>41063</v>
      </c>
      <c r="Q240" t="str">
        <f t="shared" si="6"/>
        <v>06</v>
      </c>
      <c r="R240" t="str">
        <f t="shared" si="7"/>
        <v>2012</v>
      </c>
    </row>
    <row r="241" spans="15:18" ht="15.75" x14ac:dyDescent="0.25">
      <c r="O241" s="15" t="s">
        <v>8</v>
      </c>
      <c r="P241" s="16">
        <v>41064</v>
      </c>
      <c r="Q241" t="str">
        <f t="shared" si="6"/>
        <v>06</v>
      </c>
      <c r="R241" t="str">
        <f t="shared" si="7"/>
        <v>2012</v>
      </c>
    </row>
    <row r="242" spans="15:18" ht="15.75" x14ac:dyDescent="0.25">
      <c r="O242" s="15" t="s">
        <v>1</v>
      </c>
      <c r="P242" s="16">
        <v>41065</v>
      </c>
      <c r="Q242" t="str">
        <f t="shared" si="6"/>
        <v>06</v>
      </c>
      <c r="R242" t="str">
        <f t="shared" si="7"/>
        <v>2012</v>
      </c>
    </row>
    <row r="243" spans="15:18" ht="15.75" x14ac:dyDescent="0.25">
      <c r="O243" s="15" t="s">
        <v>2</v>
      </c>
      <c r="P243" s="16">
        <v>41066</v>
      </c>
      <c r="Q243" t="str">
        <f t="shared" si="6"/>
        <v>06</v>
      </c>
      <c r="R243" t="str">
        <f t="shared" si="7"/>
        <v>2012</v>
      </c>
    </row>
    <row r="244" spans="15:18" ht="15.75" x14ac:dyDescent="0.25">
      <c r="O244" s="15" t="s">
        <v>3</v>
      </c>
      <c r="P244" s="16">
        <v>41067</v>
      </c>
      <c r="Q244" t="str">
        <f t="shared" si="6"/>
        <v>06</v>
      </c>
      <c r="R244" t="str">
        <f t="shared" si="7"/>
        <v>2012</v>
      </c>
    </row>
    <row r="245" spans="15:18" ht="15.75" x14ac:dyDescent="0.25">
      <c r="O245" s="15" t="s">
        <v>4</v>
      </c>
      <c r="P245" s="16">
        <v>41068</v>
      </c>
      <c r="Q245" t="str">
        <f t="shared" si="6"/>
        <v>06</v>
      </c>
      <c r="R245" t="str">
        <f t="shared" si="7"/>
        <v>2012</v>
      </c>
    </row>
    <row r="246" spans="15:18" ht="15.75" x14ac:dyDescent="0.25">
      <c r="O246" s="15" t="s">
        <v>5</v>
      </c>
      <c r="P246" s="16">
        <v>41069</v>
      </c>
      <c r="Q246" t="str">
        <f t="shared" si="6"/>
        <v>06</v>
      </c>
      <c r="R246" t="str">
        <f t="shared" si="7"/>
        <v>2012</v>
      </c>
    </row>
    <row r="247" spans="15:18" ht="15.75" x14ac:dyDescent="0.25">
      <c r="O247" s="15" t="s">
        <v>6</v>
      </c>
      <c r="P247" s="16">
        <v>41070</v>
      </c>
      <c r="Q247" t="str">
        <f t="shared" si="6"/>
        <v>06</v>
      </c>
      <c r="R247" t="str">
        <f t="shared" si="7"/>
        <v>2012</v>
      </c>
    </row>
    <row r="248" spans="15:18" ht="15.75" x14ac:dyDescent="0.25">
      <c r="O248" s="15" t="s">
        <v>7</v>
      </c>
      <c r="P248" s="16">
        <v>41071</v>
      </c>
      <c r="Q248" t="str">
        <f t="shared" si="6"/>
        <v>06</v>
      </c>
      <c r="R248" t="str">
        <f t="shared" si="7"/>
        <v>2012</v>
      </c>
    </row>
    <row r="249" spans="15:18" ht="15.75" x14ac:dyDescent="0.25">
      <c r="O249" s="15" t="s">
        <v>8</v>
      </c>
      <c r="P249" s="16">
        <v>41072</v>
      </c>
      <c r="Q249" t="str">
        <f t="shared" si="6"/>
        <v>06</v>
      </c>
      <c r="R249" t="str">
        <f t="shared" si="7"/>
        <v>2012</v>
      </c>
    </row>
    <row r="250" spans="15:18" ht="15.75" x14ac:dyDescent="0.25">
      <c r="O250" s="15" t="s">
        <v>1</v>
      </c>
      <c r="P250" s="16">
        <v>41073</v>
      </c>
      <c r="Q250" t="str">
        <f t="shared" si="6"/>
        <v>06</v>
      </c>
      <c r="R250" t="str">
        <f t="shared" si="7"/>
        <v>2012</v>
      </c>
    </row>
    <row r="251" spans="15:18" ht="15.75" x14ac:dyDescent="0.25">
      <c r="O251" s="15" t="s">
        <v>2</v>
      </c>
      <c r="P251" s="16">
        <v>41074</v>
      </c>
      <c r="Q251" t="str">
        <f t="shared" si="6"/>
        <v>06</v>
      </c>
      <c r="R251" t="str">
        <f t="shared" si="7"/>
        <v>2012</v>
      </c>
    </row>
    <row r="252" spans="15:18" ht="15.75" x14ac:dyDescent="0.25">
      <c r="O252" s="15" t="s">
        <v>3</v>
      </c>
      <c r="P252" s="16">
        <v>41075</v>
      </c>
      <c r="Q252" t="str">
        <f t="shared" si="6"/>
        <v>06</v>
      </c>
      <c r="R252" t="str">
        <f t="shared" si="7"/>
        <v>2012</v>
      </c>
    </row>
    <row r="253" spans="15:18" ht="15.75" x14ac:dyDescent="0.25">
      <c r="O253" s="15" t="s">
        <v>4</v>
      </c>
      <c r="P253" s="16">
        <v>41076</v>
      </c>
      <c r="Q253" t="str">
        <f t="shared" si="6"/>
        <v>06</v>
      </c>
      <c r="R253" t="str">
        <f t="shared" si="7"/>
        <v>2012</v>
      </c>
    </row>
    <row r="254" spans="15:18" ht="15.75" x14ac:dyDescent="0.25">
      <c r="O254" s="15" t="s">
        <v>5</v>
      </c>
      <c r="P254" s="16">
        <v>41077</v>
      </c>
      <c r="Q254" t="str">
        <f t="shared" si="6"/>
        <v>06</v>
      </c>
      <c r="R254" t="str">
        <f t="shared" si="7"/>
        <v>2012</v>
      </c>
    </row>
    <row r="255" spans="15:18" ht="15.75" x14ac:dyDescent="0.25">
      <c r="O255" s="15" t="s">
        <v>6</v>
      </c>
      <c r="P255" s="16">
        <v>41078</v>
      </c>
      <c r="Q255" t="str">
        <f t="shared" si="6"/>
        <v>06</v>
      </c>
      <c r="R255" t="str">
        <f t="shared" si="7"/>
        <v>2012</v>
      </c>
    </row>
    <row r="256" spans="15:18" ht="15.75" x14ac:dyDescent="0.25">
      <c r="O256" s="15" t="s">
        <v>7</v>
      </c>
      <c r="P256" s="16">
        <v>41079</v>
      </c>
      <c r="Q256" t="str">
        <f t="shared" si="6"/>
        <v>06</v>
      </c>
      <c r="R256" t="str">
        <f t="shared" si="7"/>
        <v>2012</v>
      </c>
    </row>
    <row r="257" spans="15:18" ht="15.75" x14ac:dyDescent="0.25">
      <c r="O257" s="15" t="s">
        <v>8</v>
      </c>
      <c r="P257" s="16">
        <v>41080</v>
      </c>
      <c r="Q257" t="str">
        <f t="shared" si="6"/>
        <v>06</v>
      </c>
      <c r="R257" t="str">
        <f t="shared" si="7"/>
        <v>2012</v>
      </c>
    </row>
    <row r="258" spans="15:18" ht="15.75" x14ac:dyDescent="0.25">
      <c r="O258" s="15" t="s">
        <v>1</v>
      </c>
      <c r="P258" s="16">
        <v>41081</v>
      </c>
      <c r="Q258" t="str">
        <f t="shared" si="6"/>
        <v>06</v>
      </c>
      <c r="R258" t="str">
        <f t="shared" si="7"/>
        <v>2012</v>
      </c>
    </row>
    <row r="259" spans="15:18" ht="15.75" x14ac:dyDescent="0.25">
      <c r="O259" s="15" t="s">
        <v>2</v>
      </c>
      <c r="P259" s="16">
        <v>41082</v>
      </c>
      <c r="Q259" t="str">
        <f t="shared" ref="Q259:Q322" si="8">TEXT(P259,"mm")</f>
        <v>06</v>
      </c>
      <c r="R259" t="str">
        <f t="shared" ref="R259:R322" si="9">TEXT(P259,"yyyy")</f>
        <v>2012</v>
      </c>
    </row>
    <row r="260" spans="15:18" ht="15.75" x14ac:dyDescent="0.25">
      <c r="O260" s="15" t="s">
        <v>3</v>
      </c>
      <c r="P260" s="16">
        <v>41083</v>
      </c>
      <c r="Q260" t="str">
        <f t="shared" si="8"/>
        <v>06</v>
      </c>
      <c r="R260" t="str">
        <f t="shared" si="9"/>
        <v>2012</v>
      </c>
    </row>
    <row r="261" spans="15:18" ht="15.75" x14ac:dyDescent="0.25">
      <c r="O261" s="15" t="s">
        <v>4</v>
      </c>
      <c r="P261" s="16">
        <v>41084</v>
      </c>
      <c r="Q261" t="str">
        <f t="shared" si="8"/>
        <v>06</v>
      </c>
      <c r="R261" t="str">
        <f t="shared" si="9"/>
        <v>2012</v>
      </c>
    </row>
    <row r="262" spans="15:18" ht="15.75" x14ac:dyDescent="0.25">
      <c r="O262" s="15" t="s">
        <v>5</v>
      </c>
      <c r="P262" s="16">
        <v>41085</v>
      </c>
      <c r="Q262" t="str">
        <f t="shared" si="8"/>
        <v>06</v>
      </c>
      <c r="R262" t="str">
        <f t="shared" si="9"/>
        <v>2012</v>
      </c>
    </row>
    <row r="263" spans="15:18" ht="15.75" x14ac:dyDescent="0.25">
      <c r="O263" s="15" t="s">
        <v>6</v>
      </c>
      <c r="P263" s="16">
        <v>41086</v>
      </c>
      <c r="Q263" t="str">
        <f t="shared" si="8"/>
        <v>06</v>
      </c>
      <c r="R263" t="str">
        <f t="shared" si="9"/>
        <v>2012</v>
      </c>
    </row>
    <row r="264" spans="15:18" ht="15.75" x14ac:dyDescent="0.25">
      <c r="O264" s="15" t="s">
        <v>7</v>
      </c>
      <c r="P264" s="16">
        <v>41087</v>
      </c>
      <c r="Q264" t="str">
        <f t="shared" si="8"/>
        <v>06</v>
      </c>
      <c r="R264" t="str">
        <f t="shared" si="9"/>
        <v>2012</v>
      </c>
    </row>
    <row r="265" spans="15:18" ht="15.75" x14ac:dyDescent="0.25">
      <c r="O265" s="15" t="s">
        <v>8</v>
      </c>
      <c r="P265" s="16">
        <v>41088</v>
      </c>
      <c r="Q265" t="str">
        <f t="shared" si="8"/>
        <v>06</v>
      </c>
      <c r="R265" t="str">
        <f t="shared" si="9"/>
        <v>2012</v>
      </c>
    </row>
    <row r="266" spans="15:18" ht="15.75" x14ac:dyDescent="0.25">
      <c r="O266" s="15" t="s">
        <v>1</v>
      </c>
      <c r="P266" s="16">
        <v>41089</v>
      </c>
      <c r="Q266" t="str">
        <f t="shared" si="8"/>
        <v>06</v>
      </c>
      <c r="R266" t="str">
        <f t="shared" si="9"/>
        <v>2012</v>
      </c>
    </row>
    <row r="267" spans="15:18" ht="15.75" x14ac:dyDescent="0.25">
      <c r="O267" s="15" t="s">
        <v>2</v>
      </c>
      <c r="P267" s="16">
        <v>41090</v>
      </c>
      <c r="Q267" t="str">
        <f t="shared" si="8"/>
        <v>06</v>
      </c>
      <c r="R267" t="str">
        <f t="shared" si="9"/>
        <v>2012</v>
      </c>
    </row>
    <row r="268" spans="15:18" ht="15.75" x14ac:dyDescent="0.25">
      <c r="O268" s="15" t="s">
        <v>3</v>
      </c>
      <c r="P268" s="16">
        <v>41091</v>
      </c>
      <c r="Q268" t="str">
        <f t="shared" si="8"/>
        <v>07</v>
      </c>
      <c r="R268" t="str">
        <f t="shared" si="9"/>
        <v>2012</v>
      </c>
    </row>
    <row r="269" spans="15:18" ht="15.75" x14ac:dyDescent="0.25">
      <c r="O269" s="15" t="s">
        <v>4</v>
      </c>
      <c r="P269" s="16">
        <v>41092</v>
      </c>
      <c r="Q269" t="str">
        <f t="shared" si="8"/>
        <v>07</v>
      </c>
      <c r="R269" t="str">
        <f t="shared" si="9"/>
        <v>2012</v>
      </c>
    </row>
    <row r="270" spans="15:18" ht="15.75" x14ac:dyDescent="0.25">
      <c r="O270" s="15" t="s">
        <v>5</v>
      </c>
      <c r="P270" s="16">
        <v>41093</v>
      </c>
      <c r="Q270" t="str">
        <f t="shared" si="8"/>
        <v>07</v>
      </c>
      <c r="R270" t="str">
        <f t="shared" si="9"/>
        <v>2012</v>
      </c>
    </row>
    <row r="271" spans="15:18" ht="15.75" x14ac:dyDescent="0.25">
      <c r="O271" s="15" t="s">
        <v>6</v>
      </c>
      <c r="P271" s="16">
        <v>41094</v>
      </c>
      <c r="Q271" t="str">
        <f t="shared" si="8"/>
        <v>07</v>
      </c>
      <c r="R271" t="str">
        <f t="shared" si="9"/>
        <v>2012</v>
      </c>
    </row>
    <row r="272" spans="15:18" ht="15.75" x14ac:dyDescent="0.25">
      <c r="O272" s="15" t="s">
        <v>7</v>
      </c>
      <c r="P272" s="16">
        <v>41095</v>
      </c>
      <c r="Q272" t="str">
        <f t="shared" si="8"/>
        <v>07</v>
      </c>
      <c r="R272" t="str">
        <f t="shared" si="9"/>
        <v>2012</v>
      </c>
    </row>
    <row r="273" spans="15:18" ht="15.75" x14ac:dyDescent="0.25">
      <c r="O273" s="15" t="s">
        <v>8</v>
      </c>
      <c r="P273" s="16">
        <v>41096</v>
      </c>
      <c r="Q273" t="str">
        <f t="shared" si="8"/>
        <v>07</v>
      </c>
      <c r="R273" t="str">
        <f t="shared" si="9"/>
        <v>2012</v>
      </c>
    </row>
    <row r="274" spans="15:18" ht="15.75" x14ac:dyDescent="0.25">
      <c r="O274" s="15" t="s">
        <v>1</v>
      </c>
      <c r="P274" s="16">
        <v>41097</v>
      </c>
      <c r="Q274" t="str">
        <f t="shared" si="8"/>
        <v>07</v>
      </c>
      <c r="R274" t="str">
        <f t="shared" si="9"/>
        <v>2012</v>
      </c>
    </row>
    <row r="275" spans="15:18" ht="15.75" x14ac:dyDescent="0.25">
      <c r="O275" s="15" t="s">
        <v>2</v>
      </c>
      <c r="P275" s="16">
        <v>41098</v>
      </c>
      <c r="Q275" t="str">
        <f t="shared" si="8"/>
        <v>07</v>
      </c>
      <c r="R275" t="str">
        <f t="shared" si="9"/>
        <v>2012</v>
      </c>
    </row>
    <row r="276" spans="15:18" ht="15.75" x14ac:dyDescent="0.25">
      <c r="O276" s="15" t="s">
        <v>3</v>
      </c>
      <c r="P276" s="16">
        <v>41099</v>
      </c>
      <c r="Q276" t="str">
        <f t="shared" si="8"/>
        <v>07</v>
      </c>
      <c r="R276" t="str">
        <f t="shared" si="9"/>
        <v>2012</v>
      </c>
    </row>
    <row r="277" spans="15:18" ht="15.75" x14ac:dyDescent="0.25">
      <c r="O277" s="15" t="s">
        <v>4</v>
      </c>
      <c r="P277" s="16">
        <v>41100</v>
      </c>
      <c r="Q277" t="str">
        <f t="shared" si="8"/>
        <v>07</v>
      </c>
      <c r="R277" t="str">
        <f t="shared" si="9"/>
        <v>2012</v>
      </c>
    </row>
    <row r="278" spans="15:18" ht="15.75" x14ac:dyDescent="0.25">
      <c r="O278" s="15" t="s">
        <v>5</v>
      </c>
      <c r="P278" s="16">
        <v>41101</v>
      </c>
      <c r="Q278" t="str">
        <f t="shared" si="8"/>
        <v>07</v>
      </c>
      <c r="R278" t="str">
        <f t="shared" si="9"/>
        <v>2012</v>
      </c>
    </row>
    <row r="279" spans="15:18" ht="15.75" x14ac:dyDescent="0.25">
      <c r="O279" s="15" t="s">
        <v>6</v>
      </c>
      <c r="P279" s="16">
        <v>41102</v>
      </c>
      <c r="Q279" t="str">
        <f t="shared" si="8"/>
        <v>07</v>
      </c>
      <c r="R279" t="str">
        <f t="shared" si="9"/>
        <v>2012</v>
      </c>
    </row>
    <row r="280" spans="15:18" ht="15.75" x14ac:dyDescent="0.25">
      <c r="O280" s="15" t="s">
        <v>7</v>
      </c>
      <c r="P280" s="16">
        <v>41103</v>
      </c>
      <c r="Q280" t="str">
        <f t="shared" si="8"/>
        <v>07</v>
      </c>
      <c r="R280" t="str">
        <f t="shared" si="9"/>
        <v>2012</v>
      </c>
    </row>
    <row r="281" spans="15:18" ht="15.75" x14ac:dyDescent="0.25">
      <c r="O281" s="15" t="s">
        <v>8</v>
      </c>
      <c r="P281" s="16">
        <v>41104</v>
      </c>
      <c r="Q281" t="str">
        <f t="shared" si="8"/>
        <v>07</v>
      </c>
      <c r="R281" t="str">
        <f t="shared" si="9"/>
        <v>2012</v>
      </c>
    </row>
    <row r="282" spans="15:18" ht="15.75" x14ac:dyDescent="0.25">
      <c r="O282" s="15" t="s">
        <v>1</v>
      </c>
      <c r="P282" s="16">
        <v>41105</v>
      </c>
      <c r="Q282" t="str">
        <f t="shared" si="8"/>
        <v>07</v>
      </c>
      <c r="R282" t="str">
        <f t="shared" si="9"/>
        <v>2012</v>
      </c>
    </row>
    <row r="283" spans="15:18" ht="15.75" x14ac:dyDescent="0.25">
      <c r="O283" s="15" t="s">
        <v>2</v>
      </c>
      <c r="P283" s="16">
        <v>41106</v>
      </c>
      <c r="Q283" t="str">
        <f t="shared" si="8"/>
        <v>07</v>
      </c>
      <c r="R283" t="str">
        <f t="shared" si="9"/>
        <v>2012</v>
      </c>
    </row>
    <row r="284" spans="15:18" ht="15.75" x14ac:dyDescent="0.25">
      <c r="O284" s="15" t="s">
        <v>3</v>
      </c>
      <c r="P284" s="16">
        <v>41107</v>
      </c>
      <c r="Q284" t="str">
        <f t="shared" si="8"/>
        <v>07</v>
      </c>
      <c r="R284" t="str">
        <f t="shared" si="9"/>
        <v>2012</v>
      </c>
    </row>
    <row r="285" spans="15:18" ht="15.75" x14ac:dyDescent="0.25">
      <c r="O285" s="15" t="s">
        <v>4</v>
      </c>
      <c r="P285" s="16">
        <v>41108</v>
      </c>
      <c r="Q285" t="str">
        <f t="shared" si="8"/>
        <v>07</v>
      </c>
      <c r="R285" t="str">
        <f t="shared" si="9"/>
        <v>2012</v>
      </c>
    </row>
    <row r="286" spans="15:18" ht="15.75" x14ac:dyDescent="0.25">
      <c r="O286" s="15" t="s">
        <v>5</v>
      </c>
      <c r="P286" s="16">
        <v>41109</v>
      </c>
      <c r="Q286" t="str">
        <f t="shared" si="8"/>
        <v>07</v>
      </c>
      <c r="R286" t="str">
        <f t="shared" si="9"/>
        <v>2012</v>
      </c>
    </row>
    <row r="287" spans="15:18" ht="15.75" x14ac:dyDescent="0.25">
      <c r="O287" s="15" t="s">
        <v>6</v>
      </c>
      <c r="P287" s="16">
        <v>41110</v>
      </c>
      <c r="Q287" t="str">
        <f t="shared" si="8"/>
        <v>07</v>
      </c>
      <c r="R287" t="str">
        <f t="shared" si="9"/>
        <v>2012</v>
      </c>
    </row>
    <row r="288" spans="15:18" ht="15.75" x14ac:dyDescent="0.25">
      <c r="O288" s="15" t="s">
        <v>7</v>
      </c>
      <c r="P288" s="16">
        <v>41111</v>
      </c>
      <c r="Q288" t="str">
        <f t="shared" si="8"/>
        <v>07</v>
      </c>
      <c r="R288" t="str">
        <f t="shared" si="9"/>
        <v>2012</v>
      </c>
    </row>
    <row r="289" spans="15:18" ht="15.75" x14ac:dyDescent="0.25">
      <c r="O289" s="15" t="s">
        <v>8</v>
      </c>
      <c r="P289" s="16">
        <v>41112</v>
      </c>
      <c r="Q289" t="str">
        <f t="shared" si="8"/>
        <v>07</v>
      </c>
      <c r="R289" t="str">
        <f t="shared" si="9"/>
        <v>2012</v>
      </c>
    </row>
    <row r="290" spans="15:18" ht="15.75" x14ac:dyDescent="0.25">
      <c r="O290" s="15" t="s">
        <v>1</v>
      </c>
      <c r="P290" s="16">
        <v>41113</v>
      </c>
      <c r="Q290" t="str">
        <f t="shared" si="8"/>
        <v>07</v>
      </c>
      <c r="R290" t="str">
        <f t="shared" si="9"/>
        <v>2012</v>
      </c>
    </row>
    <row r="291" spans="15:18" ht="15.75" x14ac:dyDescent="0.25">
      <c r="O291" s="15" t="s">
        <v>2</v>
      </c>
      <c r="P291" s="16">
        <v>41114</v>
      </c>
      <c r="Q291" t="str">
        <f t="shared" si="8"/>
        <v>07</v>
      </c>
      <c r="R291" t="str">
        <f t="shared" si="9"/>
        <v>2012</v>
      </c>
    </row>
    <row r="292" spans="15:18" ht="15.75" x14ac:dyDescent="0.25">
      <c r="O292" s="15" t="s">
        <v>3</v>
      </c>
      <c r="P292" s="16">
        <v>41115</v>
      </c>
      <c r="Q292" t="str">
        <f t="shared" si="8"/>
        <v>07</v>
      </c>
      <c r="R292" t="str">
        <f t="shared" si="9"/>
        <v>2012</v>
      </c>
    </row>
    <row r="293" spans="15:18" ht="15.75" x14ac:dyDescent="0.25">
      <c r="O293" s="15" t="s">
        <v>4</v>
      </c>
      <c r="P293" s="16">
        <v>41116</v>
      </c>
      <c r="Q293" t="str">
        <f t="shared" si="8"/>
        <v>07</v>
      </c>
      <c r="R293" t="str">
        <f t="shared" si="9"/>
        <v>2012</v>
      </c>
    </row>
    <row r="294" spans="15:18" ht="15.75" x14ac:dyDescent="0.25">
      <c r="O294" s="15" t="s">
        <v>5</v>
      </c>
      <c r="P294" s="16">
        <v>41117</v>
      </c>
      <c r="Q294" t="str">
        <f t="shared" si="8"/>
        <v>07</v>
      </c>
      <c r="R294" t="str">
        <f t="shared" si="9"/>
        <v>2012</v>
      </c>
    </row>
    <row r="295" spans="15:18" ht="15.75" x14ac:dyDescent="0.25">
      <c r="O295" s="15" t="s">
        <v>6</v>
      </c>
      <c r="P295" s="16">
        <v>41118</v>
      </c>
      <c r="Q295" t="str">
        <f t="shared" si="8"/>
        <v>07</v>
      </c>
      <c r="R295" t="str">
        <f t="shared" si="9"/>
        <v>2012</v>
      </c>
    </row>
    <row r="296" spans="15:18" ht="15.75" x14ac:dyDescent="0.25">
      <c r="O296" s="15" t="s">
        <v>7</v>
      </c>
      <c r="P296" s="16">
        <v>41119</v>
      </c>
      <c r="Q296" t="str">
        <f t="shared" si="8"/>
        <v>07</v>
      </c>
      <c r="R296" t="str">
        <f t="shared" si="9"/>
        <v>2012</v>
      </c>
    </row>
    <row r="297" spans="15:18" ht="15.75" x14ac:dyDescent="0.25">
      <c r="O297" s="15" t="s">
        <v>8</v>
      </c>
      <c r="P297" s="16">
        <v>41120</v>
      </c>
      <c r="Q297" t="str">
        <f t="shared" si="8"/>
        <v>07</v>
      </c>
      <c r="R297" t="str">
        <f t="shared" si="9"/>
        <v>2012</v>
      </c>
    </row>
    <row r="298" spans="15:18" ht="15.75" x14ac:dyDescent="0.25">
      <c r="O298" s="15" t="s">
        <v>1</v>
      </c>
      <c r="P298" s="16">
        <v>41121</v>
      </c>
      <c r="Q298" t="str">
        <f t="shared" si="8"/>
        <v>07</v>
      </c>
      <c r="R298" t="str">
        <f t="shared" si="9"/>
        <v>2012</v>
      </c>
    </row>
    <row r="299" spans="15:18" ht="15.75" x14ac:dyDescent="0.25">
      <c r="O299" s="15" t="s">
        <v>2</v>
      </c>
      <c r="P299" s="16">
        <v>41122</v>
      </c>
      <c r="Q299" t="str">
        <f t="shared" si="8"/>
        <v>08</v>
      </c>
      <c r="R299" t="str">
        <f t="shared" si="9"/>
        <v>2012</v>
      </c>
    </row>
    <row r="300" spans="15:18" ht="15.75" x14ac:dyDescent="0.25">
      <c r="O300" s="15" t="s">
        <v>3</v>
      </c>
      <c r="P300" s="16">
        <v>41123</v>
      </c>
      <c r="Q300" t="str">
        <f t="shared" si="8"/>
        <v>08</v>
      </c>
      <c r="R300" t="str">
        <f t="shared" si="9"/>
        <v>2012</v>
      </c>
    </row>
    <row r="301" spans="15:18" ht="15.75" x14ac:dyDescent="0.25">
      <c r="O301" s="15" t="s">
        <v>4</v>
      </c>
      <c r="P301" s="16">
        <v>41124</v>
      </c>
      <c r="Q301" t="str">
        <f t="shared" si="8"/>
        <v>08</v>
      </c>
      <c r="R301" t="str">
        <f t="shared" si="9"/>
        <v>2012</v>
      </c>
    </row>
    <row r="302" spans="15:18" ht="15.75" x14ac:dyDescent="0.25">
      <c r="O302" s="15" t="s">
        <v>5</v>
      </c>
      <c r="P302" s="16">
        <v>41125</v>
      </c>
      <c r="Q302" t="str">
        <f t="shared" si="8"/>
        <v>08</v>
      </c>
      <c r="R302" t="str">
        <f t="shared" si="9"/>
        <v>2012</v>
      </c>
    </row>
    <row r="303" spans="15:18" ht="15.75" x14ac:dyDescent="0.25">
      <c r="O303" s="15" t="s">
        <v>6</v>
      </c>
      <c r="P303" s="16">
        <v>41126</v>
      </c>
      <c r="Q303" t="str">
        <f t="shared" si="8"/>
        <v>08</v>
      </c>
      <c r="R303" t="str">
        <f t="shared" si="9"/>
        <v>2012</v>
      </c>
    </row>
    <row r="304" spans="15:18" ht="15.75" x14ac:dyDescent="0.25">
      <c r="O304" s="15" t="s">
        <v>7</v>
      </c>
      <c r="P304" s="16">
        <v>41127</v>
      </c>
      <c r="Q304" t="str">
        <f t="shared" si="8"/>
        <v>08</v>
      </c>
      <c r="R304" t="str">
        <f t="shared" si="9"/>
        <v>2012</v>
      </c>
    </row>
    <row r="305" spans="15:18" ht="15.75" x14ac:dyDescent="0.25">
      <c r="O305" s="15" t="s">
        <v>8</v>
      </c>
      <c r="P305" s="16">
        <v>41128</v>
      </c>
      <c r="Q305" t="str">
        <f t="shared" si="8"/>
        <v>08</v>
      </c>
      <c r="R305" t="str">
        <f t="shared" si="9"/>
        <v>2012</v>
      </c>
    </row>
    <row r="306" spans="15:18" ht="15.75" x14ac:dyDescent="0.25">
      <c r="O306" s="15" t="s">
        <v>1</v>
      </c>
      <c r="P306" s="16">
        <v>41129</v>
      </c>
      <c r="Q306" t="str">
        <f t="shared" si="8"/>
        <v>08</v>
      </c>
      <c r="R306" t="str">
        <f t="shared" si="9"/>
        <v>2012</v>
      </c>
    </row>
    <row r="307" spans="15:18" ht="15.75" x14ac:dyDescent="0.25">
      <c r="O307" s="15" t="s">
        <v>2</v>
      </c>
      <c r="P307" s="16">
        <v>41130</v>
      </c>
      <c r="Q307" t="str">
        <f t="shared" si="8"/>
        <v>08</v>
      </c>
      <c r="R307" t="str">
        <f t="shared" si="9"/>
        <v>2012</v>
      </c>
    </row>
    <row r="308" spans="15:18" ht="15.75" x14ac:dyDescent="0.25">
      <c r="O308" s="15" t="s">
        <v>3</v>
      </c>
      <c r="P308" s="16">
        <v>41131</v>
      </c>
      <c r="Q308" t="str">
        <f t="shared" si="8"/>
        <v>08</v>
      </c>
      <c r="R308" t="str">
        <f t="shared" si="9"/>
        <v>2012</v>
      </c>
    </row>
    <row r="309" spans="15:18" ht="15.75" x14ac:dyDescent="0.25">
      <c r="O309" s="15" t="s">
        <v>4</v>
      </c>
      <c r="P309" s="16">
        <v>41132</v>
      </c>
      <c r="Q309" t="str">
        <f t="shared" si="8"/>
        <v>08</v>
      </c>
      <c r="R309" t="str">
        <f t="shared" si="9"/>
        <v>2012</v>
      </c>
    </row>
    <row r="310" spans="15:18" ht="15.75" x14ac:dyDescent="0.25">
      <c r="O310" s="15" t="s">
        <v>5</v>
      </c>
      <c r="P310" s="16">
        <v>41133</v>
      </c>
      <c r="Q310" t="str">
        <f t="shared" si="8"/>
        <v>08</v>
      </c>
      <c r="R310" t="str">
        <f t="shared" si="9"/>
        <v>2012</v>
      </c>
    </row>
    <row r="311" spans="15:18" ht="15.75" x14ac:dyDescent="0.25">
      <c r="O311" s="15" t="s">
        <v>6</v>
      </c>
      <c r="P311" s="16">
        <v>41134</v>
      </c>
      <c r="Q311" t="str">
        <f t="shared" si="8"/>
        <v>08</v>
      </c>
      <c r="R311" t="str">
        <f t="shared" si="9"/>
        <v>2012</v>
      </c>
    </row>
    <row r="312" spans="15:18" ht="15.75" x14ac:dyDescent="0.25">
      <c r="O312" s="15" t="s">
        <v>7</v>
      </c>
      <c r="P312" s="16">
        <v>41135</v>
      </c>
      <c r="Q312" t="str">
        <f t="shared" si="8"/>
        <v>08</v>
      </c>
      <c r="R312" t="str">
        <f t="shared" si="9"/>
        <v>2012</v>
      </c>
    </row>
    <row r="313" spans="15:18" ht="15.75" x14ac:dyDescent="0.25">
      <c r="O313" s="15" t="s">
        <v>8</v>
      </c>
      <c r="P313" s="16">
        <v>41136</v>
      </c>
      <c r="Q313" t="str">
        <f t="shared" si="8"/>
        <v>08</v>
      </c>
      <c r="R313" t="str">
        <f t="shared" si="9"/>
        <v>2012</v>
      </c>
    </row>
    <row r="314" spans="15:18" ht="15.75" x14ac:dyDescent="0.25">
      <c r="O314" s="15" t="s">
        <v>1</v>
      </c>
      <c r="P314" s="16">
        <v>41137</v>
      </c>
      <c r="Q314" t="str">
        <f t="shared" si="8"/>
        <v>08</v>
      </c>
      <c r="R314" t="str">
        <f t="shared" si="9"/>
        <v>2012</v>
      </c>
    </row>
    <row r="315" spans="15:18" ht="15.75" x14ac:dyDescent="0.25">
      <c r="O315" s="15" t="s">
        <v>2</v>
      </c>
      <c r="P315" s="16">
        <v>41138</v>
      </c>
      <c r="Q315" t="str">
        <f t="shared" si="8"/>
        <v>08</v>
      </c>
      <c r="R315" t="str">
        <f t="shared" si="9"/>
        <v>2012</v>
      </c>
    </row>
    <row r="316" spans="15:18" ht="15.75" x14ac:dyDescent="0.25">
      <c r="O316" s="15" t="s">
        <v>3</v>
      </c>
      <c r="P316" s="16">
        <v>41139</v>
      </c>
      <c r="Q316" t="str">
        <f t="shared" si="8"/>
        <v>08</v>
      </c>
      <c r="R316" t="str">
        <f t="shared" si="9"/>
        <v>2012</v>
      </c>
    </row>
    <row r="317" spans="15:18" ht="15.75" x14ac:dyDescent="0.25">
      <c r="O317" s="15" t="s">
        <v>4</v>
      </c>
      <c r="P317" s="16">
        <v>41140</v>
      </c>
      <c r="Q317" t="str">
        <f t="shared" si="8"/>
        <v>08</v>
      </c>
      <c r="R317" t="str">
        <f t="shared" si="9"/>
        <v>2012</v>
      </c>
    </row>
    <row r="318" spans="15:18" ht="15.75" x14ac:dyDescent="0.25">
      <c r="O318" s="15" t="s">
        <v>5</v>
      </c>
      <c r="P318" s="16">
        <v>41141</v>
      </c>
      <c r="Q318" t="str">
        <f t="shared" si="8"/>
        <v>08</v>
      </c>
      <c r="R318" t="str">
        <f t="shared" si="9"/>
        <v>2012</v>
      </c>
    </row>
    <row r="319" spans="15:18" ht="15.75" x14ac:dyDescent="0.25">
      <c r="O319" s="15" t="s">
        <v>6</v>
      </c>
      <c r="P319" s="16">
        <v>41142</v>
      </c>
      <c r="Q319" t="str">
        <f t="shared" si="8"/>
        <v>08</v>
      </c>
      <c r="R319" t="str">
        <f t="shared" si="9"/>
        <v>2012</v>
      </c>
    </row>
    <row r="320" spans="15:18" ht="15.75" x14ac:dyDescent="0.25">
      <c r="O320" s="15" t="s">
        <v>7</v>
      </c>
      <c r="P320" s="16">
        <v>41143</v>
      </c>
      <c r="Q320" t="str">
        <f t="shared" si="8"/>
        <v>08</v>
      </c>
      <c r="R320" t="str">
        <f t="shared" si="9"/>
        <v>2012</v>
      </c>
    </row>
    <row r="321" spans="15:18" ht="15.75" x14ac:dyDescent="0.25">
      <c r="O321" s="15" t="s">
        <v>8</v>
      </c>
      <c r="P321" s="16">
        <v>41144</v>
      </c>
      <c r="Q321" t="str">
        <f t="shared" si="8"/>
        <v>08</v>
      </c>
      <c r="R321" t="str">
        <f t="shared" si="9"/>
        <v>2012</v>
      </c>
    </row>
    <row r="322" spans="15:18" ht="15.75" x14ac:dyDescent="0.25">
      <c r="O322" s="15" t="s">
        <v>1</v>
      </c>
      <c r="P322" s="16">
        <v>41145</v>
      </c>
      <c r="Q322" t="str">
        <f t="shared" si="8"/>
        <v>08</v>
      </c>
      <c r="R322" t="str">
        <f t="shared" si="9"/>
        <v>2012</v>
      </c>
    </row>
    <row r="323" spans="15:18" ht="15.75" x14ac:dyDescent="0.25">
      <c r="O323" s="15" t="s">
        <v>2</v>
      </c>
      <c r="P323" s="16">
        <v>41146</v>
      </c>
      <c r="Q323" t="str">
        <f t="shared" ref="Q323:Q386" si="10">TEXT(P323,"mm")</f>
        <v>08</v>
      </c>
      <c r="R323" t="str">
        <f t="shared" ref="R323:R386" si="11">TEXT(P323,"yyyy")</f>
        <v>2012</v>
      </c>
    </row>
    <row r="324" spans="15:18" ht="15.75" x14ac:dyDescent="0.25">
      <c r="O324" s="15" t="s">
        <v>3</v>
      </c>
      <c r="P324" s="16">
        <v>41147</v>
      </c>
      <c r="Q324" t="str">
        <f t="shared" si="10"/>
        <v>08</v>
      </c>
      <c r="R324" t="str">
        <f t="shared" si="11"/>
        <v>2012</v>
      </c>
    </row>
    <row r="325" spans="15:18" ht="15.75" x14ac:dyDescent="0.25">
      <c r="O325" s="15" t="s">
        <v>4</v>
      </c>
      <c r="P325" s="16">
        <v>41148</v>
      </c>
      <c r="Q325" t="str">
        <f t="shared" si="10"/>
        <v>08</v>
      </c>
      <c r="R325" t="str">
        <f t="shared" si="11"/>
        <v>2012</v>
      </c>
    </row>
    <row r="326" spans="15:18" ht="15.75" x14ac:dyDescent="0.25">
      <c r="O326" s="15" t="s">
        <v>5</v>
      </c>
      <c r="P326" s="16">
        <v>41149</v>
      </c>
      <c r="Q326" t="str">
        <f t="shared" si="10"/>
        <v>08</v>
      </c>
      <c r="R326" t="str">
        <f t="shared" si="11"/>
        <v>2012</v>
      </c>
    </row>
    <row r="327" spans="15:18" ht="15.75" x14ac:dyDescent="0.25">
      <c r="O327" s="15" t="s">
        <v>6</v>
      </c>
      <c r="P327" s="16">
        <v>41150</v>
      </c>
      <c r="Q327" t="str">
        <f t="shared" si="10"/>
        <v>08</v>
      </c>
      <c r="R327" t="str">
        <f t="shared" si="11"/>
        <v>2012</v>
      </c>
    </row>
    <row r="328" spans="15:18" ht="15.75" x14ac:dyDescent="0.25">
      <c r="O328" s="15" t="s">
        <v>7</v>
      </c>
      <c r="P328" s="16">
        <v>41151</v>
      </c>
      <c r="Q328" t="str">
        <f t="shared" si="10"/>
        <v>08</v>
      </c>
      <c r="R328" t="str">
        <f t="shared" si="11"/>
        <v>2012</v>
      </c>
    </row>
    <row r="329" spans="15:18" ht="15.75" x14ac:dyDescent="0.25">
      <c r="O329" s="15" t="s">
        <v>8</v>
      </c>
      <c r="P329" s="16">
        <v>41152</v>
      </c>
      <c r="Q329" t="str">
        <f t="shared" si="10"/>
        <v>08</v>
      </c>
      <c r="R329" t="str">
        <f t="shared" si="11"/>
        <v>2012</v>
      </c>
    </row>
    <row r="330" spans="15:18" ht="15.75" x14ac:dyDescent="0.25">
      <c r="O330" s="15" t="s">
        <v>1</v>
      </c>
      <c r="P330" s="16">
        <v>41153</v>
      </c>
      <c r="Q330" t="str">
        <f t="shared" si="10"/>
        <v>09</v>
      </c>
      <c r="R330" t="str">
        <f t="shared" si="11"/>
        <v>2012</v>
      </c>
    </row>
    <row r="331" spans="15:18" ht="15.75" x14ac:dyDescent="0.25">
      <c r="O331" s="15" t="s">
        <v>2</v>
      </c>
      <c r="P331" s="16">
        <v>41154</v>
      </c>
      <c r="Q331" t="str">
        <f t="shared" si="10"/>
        <v>09</v>
      </c>
      <c r="R331" t="str">
        <f t="shared" si="11"/>
        <v>2012</v>
      </c>
    </row>
    <row r="332" spans="15:18" ht="15.75" x14ac:dyDescent="0.25">
      <c r="O332" s="15" t="s">
        <v>3</v>
      </c>
      <c r="P332" s="16">
        <v>41155</v>
      </c>
      <c r="Q332" t="str">
        <f t="shared" si="10"/>
        <v>09</v>
      </c>
      <c r="R332" t="str">
        <f t="shared" si="11"/>
        <v>2012</v>
      </c>
    </row>
    <row r="333" spans="15:18" ht="15.75" x14ac:dyDescent="0.25">
      <c r="O333" s="15" t="s">
        <v>4</v>
      </c>
      <c r="P333" s="16">
        <v>41156</v>
      </c>
      <c r="Q333" t="str">
        <f t="shared" si="10"/>
        <v>09</v>
      </c>
      <c r="R333" t="str">
        <f t="shared" si="11"/>
        <v>2012</v>
      </c>
    </row>
    <row r="334" spans="15:18" ht="15.75" x14ac:dyDescent="0.25">
      <c r="O334" s="15" t="s">
        <v>5</v>
      </c>
      <c r="P334" s="16">
        <v>41157</v>
      </c>
      <c r="Q334" t="str">
        <f t="shared" si="10"/>
        <v>09</v>
      </c>
      <c r="R334" t="str">
        <f t="shared" si="11"/>
        <v>2012</v>
      </c>
    </row>
    <row r="335" spans="15:18" ht="15.75" x14ac:dyDescent="0.25">
      <c r="O335" s="15" t="s">
        <v>6</v>
      </c>
      <c r="P335" s="16">
        <v>41158</v>
      </c>
      <c r="Q335" t="str">
        <f t="shared" si="10"/>
        <v>09</v>
      </c>
      <c r="R335" t="str">
        <f t="shared" si="11"/>
        <v>2012</v>
      </c>
    </row>
    <row r="336" spans="15:18" ht="15.75" x14ac:dyDescent="0.25">
      <c r="O336" s="15" t="s">
        <v>7</v>
      </c>
      <c r="P336" s="16">
        <v>41159</v>
      </c>
      <c r="Q336" t="str">
        <f t="shared" si="10"/>
        <v>09</v>
      </c>
      <c r="R336" t="str">
        <f t="shared" si="11"/>
        <v>2012</v>
      </c>
    </row>
    <row r="337" spans="15:18" ht="15.75" x14ac:dyDescent="0.25">
      <c r="O337" s="15" t="s">
        <v>8</v>
      </c>
      <c r="P337" s="16">
        <v>41160</v>
      </c>
      <c r="Q337" t="str">
        <f t="shared" si="10"/>
        <v>09</v>
      </c>
      <c r="R337" t="str">
        <f t="shared" si="11"/>
        <v>2012</v>
      </c>
    </row>
    <row r="338" spans="15:18" ht="15.75" x14ac:dyDescent="0.25">
      <c r="O338" s="15" t="s">
        <v>1</v>
      </c>
      <c r="P338" s="16">
        <v>41161</v>
      </c>
      <c r="Q338" t="str">
        <f t="shared" si="10"/>
        <v>09</v>
      </c>
      <c r="R338" t="str">
        <f t="shared" si="11"/>
        <v>2012</v>
      </c>
    </row>
    <row r="339" spans="15:18" ht="15.75" x14ac:dyDescent="0.25">
      <c r="O339" s="15" t="s">
        <v>2</v>
      </c>
      <c r="P339" s="16">
        <v>41162</v>
      </c>
      <c r="Q339" t="str">
        <f t="shared" si="10"/>
        <v>09</v>
      </c>
      <c r="R339" t="str">
        <f t="shared" si="11"/>
        <v>2012</v>
      </c>
    </row>
    <row r="340" spans="15:18" ht="15.75" x14ac:dyDescent="0.25">
      <c r="O340" s="15" t="s">
        <v>3</v>
      </c>
      <c r="P340" s="16">
        <v>41163</v>
      </c>
      <c r="Q340" t="str">
        <f t="shared" si="10"/>
        <v>09</v>
      </c>
      <c r="R340" t="str">
        <f t="shared" si="11"/>
        <v>2012</v>
      </c>
    </row>
    <row r="341" spans="15:18" ht="15.75" x14ac:dyDescent="0.25">
      <c r="O341" s="15" t="s">
        <v>4</v>
      </c>
      <c r="P341" s="16">
        <v>41164</v>
      </c>
      <c r="Q341" t="str">
        <f t="shared" si="10"/>
        <v>09</v>
      </c>
      <c r="R341" t="str">
        <f t="shared" si="11"/>
        <v>2012</v>
      </c>
    </row>
    <row r="342" spans="15:18" ht="15.75" x14ac:dyDescent="0.25">
      <c r="O342" s="15" t="s">
        <v>5</v>
      </c>
      <c r="P342" s="16">
        <v>41165</v>
      </c>
      <c r="Q342" t="str">
        <f t="shared" si="10"/>
        <v>09</v>
      </c>
      <c r="R342" t="str">
        <f t="shared" si="11"/>
        <v>2012</v>
      </c>
    </row>
    <row r="343" spans="15:18" ht="15.75" x14ac:dyDescent="0.25">
      <c r="O343" s="15" t="s">
        <v>6</v>
      </c>
      <c r="P343" s="16">
        <v>41166</v>
      </c>
      <c r="Q343" t="str">
        <f t="shared" si="10"/>
        <v>09</v>
      </c>
      <c r="R343" t="str">
        <f t="shared" si="11"/>
        <v>2012</v>
      </c>
    </row>
    <row r="344" spans="15:18" ht="15.75" x14ac:dyDescent="0.25">
      <c r="O344" s="15" t="s">
        <v>7</v>
      </c>
      <c r="P344" s="16">
        <v>41167</v>
      </c>
      <c r="Q344" t="str">
        <f t="shared" si="10"/>
        <v>09</v>
      </c>
      <c r="R344" t="str">
        <f t="shared" si="11"/>
        <v>2012</v>
      </c>
    </row>
    <row r="345" spans="15:18" ht="15.75" x14ac:dyDescent="0.25">
      <c r="O345" s="15" t="s">
        <v>8</v>
      </c>
      <c r="P345" s="16">
        <v>41168</v>
      </c>
      <c r="Q345" t="str">
        <f t="shared" si="10"/>
        <v>09</v>
      </c>
      <c r="R345" t="str">
        <f t="shared" si="11"/>
        <v>2012</v>
      </c>
    </row>
    <row r="346" spans="15:18" ht="15.75" x14ac:dyDescent="0.25">
      <c r="O346" s="15" t="s">
        <v>1</v>
      </c>
      <c r="P346" s="16">
        <v>41169</v>
      </c>
      <c r="Q346" t="str">
        <f t="shared" si="10"/>
        <v>09</v>
      </c>
      <c r="R346" t="str">
        <f t="shared" si="11"/>
        <v>2012</v>
      </c>
    </row>
    <row r="347" spans="15:18" ht="15.75" x14ac:dyDescent="0.25">
      <c r="O347" s="15" t="s">
        <v>2</v>
      </c>
      <c r="P347" s="16">
        <v>41170</v>
      </c>
      <c r="Q347" t="str">
        <f t="shared" si="10"/>
        <v>09</v>
      </c>
      <c r="R347" t="str">
        <f t="shared" si="11"/>
        <v>2012</v>
      </c>
    </row>
    <row r="348" spans="15:18" ht="15.75" x14ac:dyDescent="0.25">
      <c r="O348" s="15" t="s">
        <v>3</v>
      </c>
      <c r="P348" s="16">
        <v>41171</v>
      </c>
      <c r="Q348" t="str">
        <f t="shared" si="10"/>
        <v>09</v>
      </c>
      <c r="R348" t="str">
        <f t="shared" si="11"/>
        <v>2012</v>
      </c>
    </row>
    <row r="349" spans="15:18" ht="15.75" x14ac:dyDescent="0.25">
      <c r="O349" s="15" t="s">
        <v>4</v>
      </c>
      <c r="P349" s="16">
        <v>41172</v>
      </c>
      <c r="Q349" t="str">
        <f t="shared" si="10"/>
        <v>09</v>
      </c>
      <c r="R349" t="str">
        <f t="shared" si="11"/>
        <v>2012</v>
      </c>
    </row>
    <row r="350" spans="15:18" ht="15.75" x14ac:dyDescent="0.25">
      <c r="O350" s="15" t="s">
        <v>5</v>
      </c>
      <c r="P350" s="16">
        <v>41173</v>
      </c>
      <c r="Q350" t="str">
        <f t="shared" si="10"/>
        <v>09</v>
      </c>
      <c r="R350" t="str">
        <f t="shared" si="11"/>
        <v>2012</v>
      </c>
    </row>
    <row r="351" spans="15:18" ht="15.75" x14ac:dyDescent="0.25">
      <c r="O351" s="15" t="s">
        <v>6</v>
      </c>
      <c r="P351" s="16">
        <v>41174</v>
      </c>
      <c r="Q351" t="str">
        <f t="shared" si="10"/>
        <v>09</v>
      </c>
      <c r="R351" t="str">
        <f t="shared" si="11"/>
        <v>2012</v>
      </c>
    </row>
    <row r="352" spans="15:18" ht="15.75" x14ac:dyDescent="0.25">
      <c r="O352" s="15" t="s">
        <v>7</v>
      </c>
      <c r="P352" s="16">
        <v>41175</v>
      </c>
      <c r="Q352" t="str">
        <f t="shared" si="10"/>
        <v>09</v>
      </c>
      <c r="R352" t="str">
        <f t="shared" si="11"/>
        <v>2012</v>
      </c>
    </row>
    <row r="353" spans="15:18" ht="15.75" x14ac:dyDescent="0.25">
      <c r="O353" s="15" t="s">
        <v>8</v>
      </c>
      <c r="P353" s="16">
        <v>41176</v>
      </c>
      <c r="Q353" t="str">
        <f t="shared" si="10"/>
        <v>09</v>
      </c>
      <c r="R353" t="str">
        <f t="shared" si="11"/>
        <v>2012</v>
      </c>
    </row>
    <row r="354" spans="15:18" ht="15.75" x14ac:dyDescent="0.25">
      <c r="O354" s="15" t="s">
        <v>1</v>
      </c>
      <c r="P354" s="16">
        <v>41177</v>
      </c>
      <c r="Q354" t="str">
        <f t="shared" si="10"/>
        <v>09</v>
      </c>
      <c r="R354" t="str">
        <f t="shared" si="11"/>
        <v>2012</v>
      </c>
    </row>
    <row r="355" spans="15:18" ht="15.75" x14ac:dyDescent="0.25">
      <c r="O355" s="15" t="s">
        <v>2</v>
      </c>
      <c r="P355" s="16">
        <v>41178</v>
      </c>
      <c r="Q355" t="str">
        <f t="shared" si="10"/>
        <v>09</v>
      </c>
      <c r="R355" t="str">
        <f t="shared" si="11"/>
        <v>2012</v>
      </c>
    </row>
    <row r="356" spans="15:18" ht="15.75" x14ac:dyDescent="0.25">
      <c r="O356" s="15" t="s">
        <v>3</v>
      </c>
      <c r="P356" s="16">
        <v>41179</v>
      </c>
      <c r="Q356" t="str">
        <f t="shared" si="10"/>
        <v>09</v>
      </c>
      <c r="R356" t="str">
        <f t="shared" si="11"/>
        <v>2012</v>
      </c>
    </row>
    <row r="357" spans="15:18" ht="15.75" x14ac:dyDescent="0.25">
      <c r="O357" s="15" t="s">
        <v>4</v>
      </c>
      <c r="P357" s="16">
        <v>41180</v>
      </c>
      <c r="Q357" t="str">
        <f t="shared" si="10"/>
        <v>09</v>
      </c>
      <c r="R357" t="str">
        <f t="shared" si="11"/>
        <v>2012</v>
      </c>
    </row>
    <row r="358" spans="15:18" ht="15.75" x14ac:dyDescent="0.25">
      <c r="O358" s="15" t="s">
        <v>5</v>
      </c>
      <c r="P358" s="16">
        <v>41181</v>
      </c>
      <c r="Q358" t="str">
        <f t="shared" si="10"/>
        <v>09</v>
      </c>
      <c r="R358" t="str">
        <f t="shared" si="11"/>
        <v>2012</v>
      </c>
    </row>
    <row r="359" spans="15:18" ht="15.75" x14ac:dyDescent="0.25">
      <c r="O359" s="15" t="s">
        <v>6</v>
      </c>
      <c r="P359" s="16">
        <v>41182</v>
      </c>
      <c r="Q359" t="str">
        <f t="shared" si="10"/>
        <v>09</v>
      </c>
      <c r="R359" t="str">
        <f t="shared" si="11"/>
        <v>2012</v>
      </c>
    </row>
    <row r="360" spans="15:18" ht="15.75" x14ac:dyDescent="0.25">
      <c r="O360" s="15" t="s">
        <v>7</v>
      </c>
      <c r="P360" s="16">
        <v>41183</v>
      </c>
      <c r="Q360" t="str">
        <f t="shared" si="10"/>
        <v>10</v>
      </c>
      <c r="R360" t="str">
        <f t="shared" si="11"/>
        <v>2012</v>
      </c>
    </row>
    <row r="361" spans="15:18" ht="15.75" x14ac:dyDescent="0.25">
      <c r="O361" s="15" t="s">
        <v>8</v>
      </c>
      <c r="P361" s="16">
        <v>41184</v>
      </c>
      <c r="Q361" t="str">
        <f t="shared" si="10"/>
        <v>10</v>
      </c>
      <c r="R361" t="str">
        <f t="shared" si="11"/>
        <v>2012</v>
      </c>
    </row>
    <row r="362" spans="15:18" ht="15.75" x14ac:dyDescent="0.25">
      <c r="O362" s="15" t="s">
        <v>1</v>
      </c>
      <c r="P362" s="16">
        <v>41185</v>
      </c>
      <c r="Q362" t="str">
        <f t="shared" si="10"/>
        <v>10</v>
      </c>
      <c r="R362" t="str">
        <f t="shared" si="11"/>
        <v>2012</v>
      </c>
    </row>
    <row r="363" spans="15:18" ht="15.75" x14ac:dyDescent="0.25">
      <c r="O363" s="15" t="s">
        <v>2</v>
      </c>
      <c r="P363" s="16">
        <v>41186</v>
      </c>
      <c r="Q363" t="str">
        <f t="shared" si="10"/>
        <v>10</v>
      </c>
      <c r="R363" t="str">
        <f t="shared" si="11"/>
        <v>2012</v>
      </c>
    </row>
    <row r="364" spans="15:18" ht="15.75" x14ac:dyDescent="0.25">
      <c r="O364" s="15" t="s">
        <v>3</v>
      </c>
      <c r="P364" s="16">
        <v>41187</v>
      </c>
      <c r="Q364" t="str">
        <f t="shared" si="10"/>
        <v>10</v>
      </c>
      <c r="R364" t="str">
        <f t="shared" si="11"/>
        <v>2012</v>
      </c>
    </row>
    <row r="365" spans="15:18" ht="15.75" x14ac:dyDescent="0.25">
      <c r="O365" s="15" t="s">
        <v>4</v>
      </c>
      <c r="P365" s="16">
        <v>41188</v>
      </c>
      <c r="Q365" t="str">
        <f t="shared" si="10"/>
        <v>10</v>
      </c>
      <c r="R365" t="str">
        <f t="shared" si="11"/>
        <v>2012</v>
      </c>
    </row>
    <row r="366" spans="15:18" ht="15.75" x14ac:dyDescent="0.25">
      <c r="O366" s="15" t="s">
        <v>5</v>
      </c>
      <c r="P366" s="16">
        <v>41189</v>
      </c>
      <c r="Q366" t="str">
        <f t="shared" si="10"/>
        <v>10</v>
      </c>
      <c r="R366" t="str">
        <f t="shared" si="11"/>
        <v>2012</v>
      </c>
    </row>
    <row r="367" spans="15:18" ht="15.75" x14ac:dyDescent="0.25">
      <c r="O367" s="15" t="s">
        <v>6</v>
      </c>
      <c r="P367" s="16">
        <v>41190</v>
      </c>
      <c r="Q367" t="str">
        <f t="shared" si="10"/>
        <v>10</v>
      </c>
      <c r="R367" t="str">
        <f t="shared" si="11"/>
        <v>2012</v>
      </c>
    </row>
    <row r="368" spans="15:18" ht="15.75" x14ac:dyDescent="0.25">
      <c r="O368" s="15" t="s">
        <v>7</v>
      </c>
      <c r="P368" s="16">
        <v>41191</v>
      </c>
      <c r="Q368" t="str">
        <f t="shared" si="10"/>
        <v>10</v>
      </c>
      <c r="R368" t="str">
        <f t="shared" si="11"/>
        <v>2012</v>
      </c>
    </row>
    <row r="369" spans="15:18" ht="15.75" x14ac:dyDescent="0.25">
      <c r="O369" s="15" t="s">
        <v>8</v>
      </c>
      <c r="P369" s="16">
        <v>41192</v>
      </c>
      <c r="Q369" t="str">
        <f t="shared" si="10"/>
        <v>10</v>
      </c>
      <c r="R369" t="str">
        <f t="shared" si="11"/>
        <v>2012</v>
      </c>
    </row>
    <row r="370" spans="15:18" ht="15.75" x14ac:dyDescent="0.25">
      <c r="O370" s="15" t="s">
        <v>1</v>
      </c>
      <c r="P370" s="16">
        <v>41193</v>
      </c>
      <c r="Q370" t="str">
        <f t="shared" si="10"/>
        <v>10</v>
      </c>
      <c r="R370" t="str">
        <f t="shared" si="11"/>
        <v>2012</v>
      </c>
    </row>
    <row r="371" spans="15:18" ht="15.75" x14ac:dyDescent="0.25">
      <c r="O371" s="15" t="s">
        <v>2</v>
      </c>
      <c r="P371" s="16">
        <v>41194</v>
      </c>
      <c r="Q371" t="str">
        <f t="shared" si="10"/>
        <v>10</v>
      </c>
      <c r="R371" t="str">
        <f t="shared" si="11"/>
        <v>2012</v>
      </c>
    </row>
    <row r="372" spans="15:18" ht="15.75" x14ac:dyDescent="0.25">
      <c r="O372" s="15" t="s">
        <v>3</v>
      </c>
      <c r="P372" s="16">
        <v>41195</v>
      </c>
      <c r="Q372" t="str">
        <f t="shared" si="10"/>
        <v>10</v>
      </c>
      <c r="R372" t="str">
        <f t="shared" si="11"/>
        <v>2012</v>
      </c>
    </row>
    <row r="373" spans="15:18" ht="15.75" x14ac:dyDescent="0.25">
      <c r="O373" s="15" t="s">
        <v>4</v>
      </c>
      <c r="P373" s="16">
        <v>41196</v>
      </c>
      <c r="Q373" t="str">
        <f t="shared" si="10"/>
        <v>10</v>
      </c>
      <c r="R373" t="str">
        <f t="shared" si="11"/>
        <v>2012</v>
      </c>
    </row>
    <row r="374" spans="15:18" ht="15.75" x14ac:dyDescent="0.25">
      <c r="O374" s="15" t="s">
        <v>5</v>
      </c>
      <c r="P374" s="16">
        <v>41197</v>
      </c>
      <c r="Q374" t="str">
        <f t="shared" si="10"/>
        <v>10</v>
      </c>
      <c r="R374" t="str">
        <f t="shared" si="11"/>
        <v>2012</v>
      </c>
    </row>
    <row r="375" spans="15:18" ht="15.75" x14ac:dyDescent="0.25">
      <c r="O375" s="15" t="s">
        <v>6</v>
      </c>
      <c r="P375" s="16">
        <v>41198</v>
      </c>
      <c r="Q375" t="str">
        <f t="shared" si="10"/>
        <v>10</v>
      </c>
      <c r="R375" t="str">
        <f t="shared" si="11"/>
        <v>2012</v>
      </c>
    </row>
    <row r="376" spans="15:18" ht="15.75" x14ac:dyDescent="0.25">
      <c r="O376" s="15" t="s">
        <v>7</v>
      </c>
      <c r="P376" s="16">
        <v>41199</v>
      </c>
      <c r="Q376" t="str">
        <f t="shared" si="10"/>
        <v>10</v>
      </c>
      <c r="R376" t="str">
        <f t="shared" si="11"/>
        <v>2012</v>
      </c>
    </row>
    <row r="377" spans="15:18" ht="15.75" x14ac:dyDescent="0.25">
      <c r="O377" s="15" t="s">
        <v>8</v>
      </c>
      <c r="P377" s="16">
        <v>41200</v>
      </c>
      <c r="Q377" t="str">
        <f t="shared" si="10"/>
        <v>10</v>
      </c>
      <c r="R377" t="str">
        <f t="shared" si="11"/>
        <v>2012</v>
      </c>
    </row>
    <row r="378" spans="15:18" ht="15.75" x14ac:dyDescent="0.25">
      <c r="O378" s="15" t="s">
        <v>1</v>
      </c>
      <c r="P378" s="16">
        <v>41201</v>
      </c>
      <c r="Q378" t="str">
        <f t="shared" si="10"/>
        <v>10</v>
      </c>
      <c r="R378" t="str">
        <f t="shared" si="11"/>
        <v>2012</v>
      </c>
    </row>
    <row r="379" spans="15:18" ht="15.75" x14ac:dyDescent="0.25">
      <c r="O379" s="15" t="s">
        <v>2</v>
      </c>
      <c r="P379" s="16">
        <v>41202</v>
      </c>
      <c r="Q379" t="str">
        <f t="shared" si="10"/>
        <v>10</v>
      </c>
      <c r="R379" t="str">
        <f t="shared" si="11"/>
        <v>2012</v>
      </c>
    </row>
    <row r="380" spans="15:18" ht="15.75" x14ac:dyDescent="0.25">
      <c r="O380" s="15" t="s">
        <v>3</v>
      </c>
      <c r="P380" s="16">
        <v>41203</v>
      </c>
      <c r="Q380" t="str">
        <f t="shared" si="10"/>
        <v>10</v>
      </c>
      <c r="R380" t="str">
        <f t="shared" si="11"/>
        <v>2012</v>
      </c>
    </row>
    <row r="381" spans="15:18" ht="15.75" x14ac:dyDescent="0.25">
      <c r="O381" s="15" t="s">
        <v>4</v>
      </c>
      <c r="P381" s="16">
        <v>41204</v>
      </c>
      <c r="Q381" t="str">
        <f t="shared" si="10"/>
        <v>10</v>
      </c>
      <c r="R381" t="str">
        <f t="shared" si="11"/>
        <v>2012</v>
      </c>
    </row>
    <row r="382" spans="15:18" ht="15.75" x14ac:dyDescent="0.25">
      <c r="O382" s="15" t="s">
        <v>5</v>
      </c>
      <c r="P382" s="16">
        <v>41205</v>
      </c>
      <c r="Q382" t="str">
        <f t="shared" si="10"/>
        <v>10</v>
      </c>
      <c r="R382" t="str">
        <f t="shared" si="11"/>
        <v>2012</v>
      </c>
    </row>
    <row r="383" spans="15:18" ht="15.75" x14ac:dyDescent="0.25">
      <c r="O383" s="15" t="s">
        <v>6</v>
      </c>
      <c r="P383" s="16">
        <v>41206</v>
      </c>
      <c r="Q383" t="str">
        <f t="shared" si="10"/>
        <v>10</v>
      </c>
      <c r="R383" t="str">
        <f t="shared" si="11"/>
        <v>2012</v>
      </c>
    </row>
    <row r="384" spans="15:18" ht="15.75" x14ac:dyDescent="0.25">
      <c r="O384" s="15" t="s">
        <v>7</v>
      </c>
      <c r="P384" s="16">
        <v>41207</v>
      </c>
      <c r="Q384" t="str">
        <f t="shared" si="10"/>
        <v>10</v>
      </c>
      <c r="R384" t="str">
        <f t="shared" si="11"/>
        <v>2012</v>
      </c>
    </row>
    <row r="385" spans="15:18" ht="15.75" x14ac:dyDescent="0.25">
      <c r="O385" s="15" t="s">
        <v>8</v>
      </c>
      <c r="P385" s="16">
        <v>41208</v>
      </c>
      <c r="Q385" t="str">
        <f t="shared" si="10"/>
        <v>10</v>
      </c>
      <c r="R385" t="str">
        <f t="shared" si="11"/>
        <v>2012</v>
      </c>
    </row>
    <row r="386" spans="15:18" ht="15.75" x14ac:dyDescent="0.25">
      <c r="O386" s="15" t="s">
        <v>1</v>
      </c>
      <c r="P386" s="16">
        <v>41209</v>
      </c>
      <c r="Q386" t="str">
        <f t="shared" si="10"/>
        <v>10</v>
      </c>
      <c r="R386" t="str">
        <f t="shared" si="11"/>
        <v>2012</v>
      </c>
    </row>
    <row r="387" spans="15:18" ht="15.75" x14ac:dyDescent="0.25">
      <c r="O387" s="15" t="s">
        <v>2</v>
      </c>
      <c r="P387" s="16">
        <v>41210</v>
      </c>
      <c r="Q387" t="str">
        <f t="shared" ref="Q387:Q440" si="12">TEXT(P387,"mm")</f>
        <v>10</v>
      </c>
      <c r="R387" t="str">
        <f t="shared" ref="R387:R440" si="13">TEXT(P387,"yyyy")</f>
        <v>2012</v>
      </c>
    </row>
    <row r="388" spans="15:18" ht="15.75" x14ac:dyDescent="0.25">
      <c r="O388" s="15" t="s">
        <v>3</v>
      </c>
      <c r="P388" s="16">
        <v>41211</v>
      </c>
      <c r="Q388" t="str">
        <f t="shared" si="12"/>
        <v>10</v>
      </c>
      <c r="R388" t="str">
        <f t="shared" si="13"/>
        <v>2012</v>
      </c>
    </row>
    <row r="389" spans="15:18" ht="15.75" x14ac:dyDescent="0.25">
      <c r="O389" s="15" t="s">
        <v>4</v>
      </c>
      <c r="P389" s="16">
        <v>41212</v>
      </c>
      <c r="Q389" t="str">
        <f t="shared" si="12"/>
        <v>10</v>
      </c>
      <c r="R389" t="str">
        <f t="shared" si="13"/>
        <v>2012</v>
      </c>
    </row>
    <row r="390" spans="15:18" ht="15.75" x14ac:dyDescent="0.25">
      <c r="O390" s="15" t="s">
        <v>5</v>
      </c>
      <c r="P390" s="16">
        <v>41213</v>
      </c>
      <c r="Q390" t="str">
        <f t="shared" si="12"/>
        <v>10</v>
      </c>
      <c r="R390" t="str">
        <f t="shared" si="13"/>
        <v>2012</v>
      </c>
    </row>
    <row r="391" spans="15:18" ht="15.75" x14ac:dyDescent="0.25">
      <c r="O391" s="15" t="s">
        <v>6</v>
      </c>
      <c r="P391" s="16">
        <v>41214</v>
      </c>
      <c r="Q391" t="str">
        <f t="shared" si="12"/>
        <v>11</v>
      </c>
      <c r="R391" t="str">
        <f t="shared" si="13"/>
        <v>2012</v>
      </c>
    </row>
    <row r="392" spans="15:18" ht="15.75" x14ac:dyDescent="0.25">
      <c r="O392" s="15" t="s">
        <v>7</v>
      </c>
      <c r="P392" s="16">
        <v>41215</v>
      </c>
      <c r="Q392" t="str">
        <f t="shared" si="12"/>
        <v>11</v>
      </c>
      <c r="R392" t="str">
        <f t="shared" si="13"/>
        <v>2012</v>
      </c>
    </row>
    <row r="393" spans="15:18" ht="15.75" x14ac:dyDescent="0.25">
      <c r="O393" s="15" t="s">
        <v>8</v>
      </c>
      <c r="P393" s="16">
        <v>41216</v>
      </c>
      <c r="Q393" t="str">
        <f t="shared" si="12"/>
        <v>11</v>
      </c>
      <c r="R393" t="str">
        <f t="shared" si="13"/>
        <v>2012</v>
      </c>
    </row>
    <row r="394" spans="15:18" ht="15.75" x14ac:dyDescent="0.25">
      <c r="O394" s="15" t="s">
        <v>1</v>
      </c>
      <c r="P394" s="16">
        <v>41217</v>
      </c>
      <c r="Q394" t="str">
        <f t="shared" si="12"/>
        <v>11</v>
      </c>
      <c r="R394" t="str">
        <f t="shared" si="13"/>
        <v>2012</v>
      </c>
    </row>
    <row r="395" spans="15:18" ht="15.75" x14ac:dyDescent="0.25">
      <c r="O395" s="15" t="s">
        <v>2</v>
      </c>
      <c r="P395" s="16">
        <v>41218</v>
      </c>
      <c r="Q395" t="str">
        <f t="shared" si="12"/>
        <v>11</v>
      </c>
      <c r="R395" t="str">
        <f t="shared" si="13"/>
        <v>2012</v>
      </c>
    </row>
    <row r="396" spans="15:18" ht="15.75" x14ac:dyDescent="0.25">
      <c r="O396" s="15" t="s">
        <v>3</v>
      </c>
      <c r="P396" s="16">
        <v>41219</v>
      </c>
      <c r="Q396" t="str">
        <f t="shared" si="12"/>
        <v>11</v>
      </c>
      <c r="R396" t="str">
        <f t="shared" si="13"/>
        <v>2012</v>
      </c>
    </row>
    <row r="397" spans="15:18" ht="15.75" x14ac:dyDescent="0.25">
      <c r="O397" s="15" t="s">
        <v>4</v>
      </c>
      <c r="P397" s="16">
        <v>41220</v>
      </c>
      <c r="Q397" t="str">
        <f t="shared" si="12"/>
        <v>11</v>
      </c>
      <c r="R397" t="str">
        <f t="shared" si="13"/>
        <v>2012</v>
      </c>
    </row>
    <row r="398" spans="15:18" ht="15.75" x14ac:dyDescent="0.25">
      <c r="O398" s="15" t="s">
        <v>5</v>
      </c>
      <c r="P398" s="16">
        <v>41221</v>
      </c>
      <c r="Q398" t="str">
        <f t="shared" si="12"/>
        <v>11</v>
      </c>
      <c r="R398" t="str">
        <f t="shared" si="13"/>
        <v>2012</v>
      </c>
    </row>
    <row r="399" spans="15:18" ht="15.75" x14ac:dyDescent="0.25">
      <c r="O399" s="15" t="s">
        <v>6</v>
      </c>
      <c r="P399" s="16">
        <v>41222</v>
      </c>
      <c r="Q399" t="str">
        <f t="shared" si="12"/>
        <v>11</v>
      </c>
      <c r="R399" t="str">
        <f t="shared" si="13"/>
        <v>2012</v>
      </c>
    </row>
    <row r="400" spans="15:18" ht="15.75" x14ac:dyDescent="0.25">
      <c r="O400" s="15" t="s">
        <v>7</v>
      </c>
      <c r="P400" s="16">
        <v>41223</v>
      </c>
      <c r="Q400" t="str">
        <f t="shared" si="12"/>
        <v>11</v>
      </c>
      <c r="R400" t="str">
        <f t="shared" si="13"/>
        <v>2012</v>
      </c>
    </row>
    <row r="401" spans="15:18" ht="15.75" x14ac:dyDescent="0.25">
      <c r="O401" s="15" t="s">
        <v>8</v>
      </c>
      <c r="P401" s="16">
        <v>41224</v>
      </c>
      <c r="Q401" t="str">
        <f t="shared" si="12"/>
        <v>11</v>
      </c>
      <c r="R401" t="str">
        <f t="shared" si="13"/>
        <v>2012</v>
      </c>
    </row>
    <row r="402" spans="15:18" ht="15.75" x14ac:dyDescent="0.25">
      <c r="O402" s="15" t="s">
        <v>1</v>
      </c>
      <c r="P402" s="16">
        <v>41225</v>
      </c>
      <c r="Q402" t="str">
        <f t="shared" si="12"/>
        <v>11</v>
      </c>
      <c r="R402" t="str">
        <f t="shared" si="13"/>
        <v>2012</v>
      </c>
    </row>
    <row r="403" spans="15:18" ht="15.75" x14ac:dyDescent="0.25">
      <c r="O403" s="15" t="s">
        <v>2</v>
      </c>
      <c r="P403" s="16">
        <v>41226</v>
      </c>
      <c r="Q403" t="str">
        <f t="shared" si="12"/>
        <v>11</v>
      </c>
      <c r="R403" t="str">
        <f t="shared" si="13"/>
        <v>2012</v>
      </c>
    </row>
    <row r="404" spans="15:18" ht="15.75" x14ac:dyDescent="0.25">
      <c r="O404" s="15" t="s">
        <v>3</v>
      </c>
      <c r="P404" s="16">
        <v>41227</v>
      </c>
      <c r="Q404" t="str">
        <f t="shared" si="12"/>
        <v>11</v>
      </c>
      <c r="R404" t="str">
        <f t="shared" si="13"/>
        <v>2012</v>
      </c>
    </row>
    <row r="405" spans="15:18" ht="15.75" x14ac:dyDescent="0.25">
      <c r="O405" s="15" t="s">
        <v>4</v>
      </c>
      <c r="P405" s="16">
        <v>41228</v>
      </c>
      <c r="Q405" t="str">
        <f t="shared" si="12"/>
        <v>11</v>
      </c>
      <c r="R405" t="str">
        <f t="shared" si="13"/>
        <v>2012</v>
      </c>
    </row>
    <row r="406" spans="15:18" ht="15.75" x14ac:dyDescent="0.25">
      <c r="O406" s="15" t="s">
        <v>5</v>
      </c>
      <c r="P406" s="16">
        <v>41229</v>
      </c>
      <c r="Q406" t="str">
        <f t="shared" si="12"/>
        <v>11</v>
      </c>
      <c r="R406" t="str">
        <f t="shared" si="13"/>
        <v>2012</v>
      </c>
    </row>
    <row r="407" spans="15:18" ht="15.75" x14ac:dyDescent="0.25">
      <c r="O407" s="15" t="s">
        <v>6</v>
      </c>
      <c r="P407" s="16">
        <v>41230</v>
      </c>
      <c r="Q407" t="str">
        <f t="shared" si="12"/>
        <v>11</v>
      </c>
      <c r="R407" t="str">
        <f t="shared" si="13"/>
        <v>2012</v>
      </c>
    </row>
    <row r="408" spans="15:18" ht="15.75" x14ac:dyDescent="0.25">
      <c r="O408" s="15" t="s">
        <v>7</v>
      </c>
      <c r="P408" s="16">
        <v>41231</v>
      </c>
      <c r="Q408" t="str">
        <f t="shared" si="12"/>
        <v>11</v>
      </c>
      <c r="R408" t="str">
        <f t="shared" si="13"/>
        <v>2012</v>
      </c>
    </row>
    <row r="409" spans="15:18" ht="15.75" x14ac:dyDescent="0.25">
      <c r="O409" s="15" t="s">
        <v>8</v>
      </c>
      <c r="P409" s="16">
        <v>41232</v>
      </c>
      <c r="Q409" t="str">
        <f t="shared" si="12"/>
        <v>11</v>
      </c>
      <c r="R409" t="str">
        <f t="shared" si="13"/>
        <v>2012</v>
      </c>
    </row>
    <row r="410" spans="15:18" ht="15.75" x14ac:dyDescent="0.25">
      <c r="O410" s="15" t="s">
        <v>1</v>
      </c>
      <c r="P410" s="16">
        <v>41233</v>
      </c>
      <c r="Q410" t="str">
        <f t="shared" si="12"/>
        <v>11</v>
      </c>
      <c r="R410" t="str">
        <f t="shared" si="13"/>
        <v>2012</v>
      </c>
    </row>
    <row r="411" spans="15:18" ht="15.75" x14ac:dyDescent="0.25">
      <c r="O411" s="15" t="s">
        <v>2</v>
      </c>
      <c r="P411" s="16">
        <v>41234</v>
      </c>
      <c r="Q411" t="str">
        <f t="shared" si="12"/>
        <v>11</v>
      </c>
      <c r="R411" t="str">
        <f t="shared" si="13"/>
        <v>2012</v>
      </c>
    </row>
    <row r="412" spans="15:18" ht="15.75" x14ac:dyDescent="0.25">
      <c r="O412" s="15" t="s">
        <v>3</v>
      </c>
      <c r="P412" s="16">
        <v>41235</v>
      </c>
      <c r="Q412" t="str">
        <f t="shared" si="12"/>
        <v>11</v>
      </c>
      <c r="R412" t="str">
        <f t="shared" si="13"/>
        <v>2012</v>
      </c>
    </row>
    <row r="413" spans="15:18" ht="15.75" x14ac:dyDescent="0.25">
      <c r="O413" s="15" t="s">
        <v>4</v>
      </c>
      <c r="P413" s="16">
        <v>41236</v>
      </c>
      <c r="Q413" t="str">
        <f t="shared" si="12"/>
        <v>11</v>
      </c>
      <c r="R413" t="str">
        <f t="shared" si="13"/>
        <v>2012</v>
      </c>
    </row>
    <row r="414" spans="15:18" ht="15.75" x14ac:dyDescent="0.25">
      <c r="O414" s="15" t="s">
        <v>5</v>
      </c>
      <c r="P414" s="16">
        <v>41237</v>
      </c>
      <c r="Q414" t="str">
        <f t="shared" si="12"/>
        <v>11</v>
      </c>
      <c r="R414" t="str">
        <f t="shared" si="13"/>
        <v>2012</v>
      </c>
    </row>
    <row r="415" spans="15:18" ht="15.75" x14ac:dyDescent="0.25">
      <c r="O415" s="15" t="s">
        <v>6</v>
      </c>
      <c r="P415" s="16">
        <v>41238</v>
      </c>
      <c r="Q415" t="str">
        <f t="shared" si="12"/>
        <v>11</v>
      </c>
      <c r="R415" t="str">
        <f t="shared" si="13"/>
        <v>2012</v>
      </c>
    </row>
    <row r="416" spans="15:18" ht="15.75" x14ac:dyDescent="0.25">
      <c r="O416" s="15" t="s">
        <v>7</v>
      </c>
      <c r="P416" s="16">
        <v>41239</v>
      </c>
      <c r="Q416" t="str">
        <f t="shared" si="12"/>
        <v>11</v>
      </c>
      <c r="R416" t="str">
        <f t="shared" si="13"/>
        <v>2012</v>
      </c>
    </row>
    <row r="417" spans="11:18" ht="15.75" x14ac:dyDescent="0.25">
      <c r="O417" s="15" t="s">
        <v>8</v>
      </c>
      <c r="P417" s="16">
        <v>41240</v>
      </c>
      <c r="Q417" t="str">
        <f t="shared" si="12"/>
        <v>11</v>
      </c>
      <c r="R417" t="str">
        <f t="shared" si="13"/>
        <v>2012</v>
      </c>
    </row>
    <row r="418" spans="11:18" ht="15.75" x14ac:dyDescent="0.25">
      <c r="O418" s="15" t="s">
        <v>1</v>
      </c>
      <c r="P418" s="16">
        <v>41241</v>
      </c>
      <c r="Q418" t="str">
        <f t="shared" si="12"/>
        <v>11</v>
      </c>
      <c r="R418" t="str">
        <f t="shared" si="13"/>
        <v>2012</v>
      </c>
    </row>
    <row r="419" spans="11:18" ht="15.75" x14ac:dyDescent="0.25">
      <c r="O419" s="15" t="s">
        <v>2</v>
      </c>
      <c r="P419" s="16">
        <v>41242</v>
      </c>
      <c r="Q419" t="str">
        <f t="shared" si="12"/>
        <v>11</v>
      </c>
      <c r="R419" t="str">
        <f t="shared" si="13"/>
        <v>2012</v>
      </c>
    </row>
    <row r="420" spans="11:18" ht="15.75" x14ac:dyDescent="0.25">
      <c r="O420" s="15" t="s">
        <v>3</v>
      </c>
      <c r="P420" s="16">
        <v>41243</v>
      </c>
      <c r="Q420" t="str">
        <f t="shared" si="12"/>
        <v>11</v>
      </c>
      <c r="R420" t="str">
        <f t="shared" si="13"/>
        <v>2012</v>
      </c>
    </row>
    <row r="421" spans="11:18" ht="15.75" x14ac:dyDescent="0.25">
      <c r="O421" s="15" t="s">
        <v>4</v>
      </c>
      <c r="P421" s="16">
        <v>41244</v>
      </c>
      <c r="Q421" t="str">
        <f t="shared" si="12"/>
        <v>12</v>
      </c>
      <c r="R421" t="str">
        <f t="shared" si="13"/>
        <v>2012</v>
      </c>
    </row>
    <row r="422" spans="11:18" ht="15.75" x14ac:dyDescent="0.25">
      <c r="O422" s="15" t="s">
        <v>5</v>
      </c>
      <c r="P422" s="16">
        <v>41245</v>
      </c>
      <c r="Q422" t="str">
        <f t="shared" si="12"/>
        <v>12</v>
      </c>
      <c r="R422" t="str">
        <f t="shared" si="13"/>
        <v>2012</v>
      </c>
    </row>
    <row r="423" spans="11:18" ht="15.75" x14ac:dyDescent="0.25">
      <c r="O423" s="15" t="s">
        <v>6</v>
      </c>
      <c r="P423" s="16">
        <v>41246</v>
      </c>
      <c r="Q423" t="str">
        <f t="shared" si="12"/>
        <v>12</v>
      </c>
      <c r="R423" t="str">
        <f t="shared" si="13"/>
        <v>2012</v>
      </c>
    </row>
    <row r="424" spans="11:18" ht="15.75" x14ac:dyDescent="0.25">
      <c r="O424" s="15" t="s">
        <v>7</v>
      </c>
      <c r="P424" s="16">
        <v>41247</v>
      </c>
      <c r="Q424" t="str">
        <f t="shared" si="12"/>
        <v>12</v>
      </c>
      <c r="R424" t="str">
        <f t="shared" si="13"/>
        <v>2012</v>
      </c>
    </row>
    <row r="425" spans="11:18" ht="15.75" x14ac:dyDescent="0.25">
      <c r="O425" s="15" t="s">
        <v>8</v>
      </c>
      <c r="P425" s="16">
        <v>41248</v>
      </c>
      <c r="Q425" t="str">
        <f t="shared" si="12"/>
        <v>12</v>
      </c>
      <c r="R425" t="str">
        <f t="shared" si="13"/>
        <v>2012</v>
      </c>
    </row>
    <row r="426" spans="11:18" ht="15.75" x14ac:dyDescent="0.25">
      <c r="O426" s="15" t="s">
        <v>1</v>
      </c>
      <c r="P426" s="16">
        <v>41249</v>
      </c>
      <c r="Q426" t="str">
        <f t="shared" si="12"/>
        <v>12</v>
      </c>
      <c r="R426" t="str">
        <f t="shared" si="13"/>
        <v>2012</v>
      </c>
    </row>
    <row r="427" spans="11:18" ht="15.75" x14ac:dyDescent="0.25">
      <c r="K427" s="130"/>
      <c r="O427" s="15" t="s">
        <v>2</v>
      </c>
      <c r="P427" s="16">
        <v>41250</v>
      </c>
      <c r="Q427" t="str">
        <f t="shared" si="12"/>
        <v>12</v>
      </c>
      <c r="R427" t="str">
        <f t="shared" si="13"/>
        <v>2012</v>
      </c>
    </row>
    <row r="428" spans="11:18" ht="15.75" x14ac:dyDescent="0.25">
      <c r="O428" s="15" t="s">
        <v>3</v>
      </c>
      <c r="P428" s="16">
        <v>41251</v>
      </c>
      <c r="Q428" t="str">
        <f t="shared" si="12"/>
        <v>12</v>
      </c>
      <c r="R428" t="str">
        <f t="shared" si="13"/>
        <v>2012</v>
      </c>
    </row>
    <row r="429" spans="11:18" ht="15.75" x14ac:dyDescent="0.25">
      <c r="O429" s="15" t="s">
        <v>4</v>
      </c>
      <c r="P429" s="16">
        <v>41252</v>
      </c>
      <c r="Q429" t="str">
        <f t="shared" si="12"/>
        <v>12</v>
      </c>
      <c r="R429" t="str">
        <f t="shared" si="13"/>
        <v>2012</v>
      </c>
    </row>
    <row r="430" spans="11:18" ht="15.75" x14ac:dyDescent="0.25">
      <c r="O430" s="15" t="s">
        <v>5</v>
      </c>
      <c r="P430" s="16">
        <v>41253</v>
      </c>
      <c r="Q430" t="str">
        <f t="shared" si="12"/>
        <v>12</v>
      </c>
      <c r="R430" t="str">
        <f t="shared" si="13"/>
        <v>2012</v>
      </c>
    </row>
    <row r="431" spans="11:18" ht="15.75" x14ac:dyDescent="0.25">
      <c r="O431" s="15" t="s">
        <v>6</v>
      </c>
      <c r="P431" s="16">
        <v>41254</v>
      </c>
      <c r="Q431" t="str">
        <f t="shared" si="12"/>
        <v>12</v>
      </c>
      <c r="R431" t="str">
        <f t="shared" si="13"/>
        <v>2012</v>
      </c>
    </row>
    <row r="432" spans="11:18" ht="15.75" x14ac:dyDescent="0.25">
      <c r="O432" s="15" t="s">
        <v>7</v>
      </c>
      <c r="P432" s="16">
        <v>41255</v>
      </c>
      <c r="Q432" t="str">
        <f t="shared" si="12"/>
        <v>12</v>
      </c>
      <c r="R432" t="str">
        <f t="shared" si="13"/>
        <v>2012</v>
      </c>
    </row>
    <row r="433" spans="15:18" ht="15.75" x14ac:dyDescent="0.25">
      <c r="O433" s="15" t="s">
        <v>8</v>
      </c>
      <c r="P433" s="16">
        <v>41256</v>
      </c>
      <c r="Q433" t="str">
        <f t="shared" si="12"/>
        <v>12</v>
      </c>
      <c r="R433" t="str">
        <f t="shared" si="13"/>
        <v>2012</v>
      </c>
    </row>
    <row r="434" spans="15:18" ht="15.75" x14ac:dyDescent="0.25">
      <c r="O434" s="15" t="s">
        <v>1</v>
      </c>
      <c r="P434" s="16">
        <v>41257</v>
      </c>
      <c r="Q434" t="str">
        <f t="shared" si="12"/>
        <v>12</v>
      </c>
      <c r="R434" t="str">
        <f t="shared" si="13"/>
        <v>2012</v>
      </c>
    </row>
    <row r="435" spans="15:18" ht="15.75" x14ac:dyDescent="0.25">
      <c r="O435" s="15" t="s">
        <v>2</v>
      </c>
      <c r="P435" s="16">
        <v>41258</v>
      </c>
      <c r="Q435" t="str">
        <f t="shared" si="12"/>
        <v>12</v>
      </c>
      <c r="R435" t="str">
        <f t="shared" si="13"/>
        <v>2012</v>
      </c>
    </row>
    <row r="436" spans="15:18" ht="15.75" x14ac:dyDescent="0.25">
      <c r="O436" s="15" t="s">
        <v>3</v>
      </c>
      <c r="P436" s="16">
        <v>41259</v>
      </c>
      <c r="Q436" t="str">
        <f t="shared" si="12"/>
        <v>12</v>
      </c>
      <c r="R436" t="str">
        <f t="shared" si="13"/>
        <v>2012</v>
      </c>
    </row>
    <row r="437" spans="15:18" ht="15.75" x14ac:dyDescent="0.25">
      <c r="O437" s="15" t="s">
        <v>4</v>
      </c>
      <c r="P437" s="16">
        <v>41260</v>
      </c>
      <c r="Q437" t="str">
        <f t="shared" si="12"/>
        <v>12</v>
      </c>
      <c r="R437" t="str">
        <f t="shared" si="13"/>
        <v>2012</v>
      </c>
    </row>
    <row r="438" spans="15:18" ht="15.75" x14ac:dyDescent="0.25">
      <c r="O438" s="15" t="s">
        <v>5</v>
      </c>
      <c r="P438" s="16">
        <v>41261</v>
      </c>
      <c r="Q438" t="str">
        <f t="shared" si="12"/>
        <v>12</v>
      </c>
      <c r="R438" t="str">
        <f t="shared" si="13"/>
        <v>2012</v>
      </c>
    </row>
    <row r="439" spans="15:18" ht="15.75" x14ac:dyDescent="0.25">
      <c r="O439" s="15" t="s">
        <v>6</v>
      </c>
      <c r="P439" s="16">
        <v>41262</v>
      </c>
      <c r="Q439" t="str">
        <f t="shared" si="12"/>
        <v>12</v>
      </c>
      <c r="R439" t="str">
        <f t="shared" si="13"/>
        <v>2012</v>
      </c>
    </row>
    <row r="440" spans="15:18" ht="15.75" x14ac:dyDescent="0.25">
      <c r="O440" s="15" t="s">
        <v>7</v>
      </c>
      <c r="P440" s="16">
        <v>41263</v>
      </c>
      <c r="Q440" t="str">
        <f t="shared" si="12"/>
        <v>12</v>
      </c>
      <c r="R440" t="str">
        <f t="shared" si="13"/>
        <v>2012</v>
      </c>
    </row>
  </sheetData>
  <mergeCells count="6">
    <mergeCell ref="D6:L6"/>
    <mergeCell ref="A6:A7"/>
    <mergeCell ref="A2:A3"/>
    <mergeCell ref="D7:L7"/>
    <mergeCell ref="D3:L3"/>
    <mergeCell ref="D2:L2"/>
  </mergeCells>
  <dataValidations count="1">
    <dataValidation type="list" allowBlank="1" showInputMessage="1" showErrorMessage="1" sqref="B3" xr:uid="{00000000-0002-0000-0000-000000000000}">
      <formula1>$M$1:$M$15</formula1>
    </dataValidation>
  </dataValidation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I24"/>
  <sheetViews>
    <sheetView showGridLines="0" topLeftCell="A4" zoomScaleNormal="100" workbookViewId="0">
      <selection activeCell="G9" sqref="G9"/>
    </sheetView>
  </sheetViews>
  <sheetFormatPr defaultRowHeight="15" x14ac:dyDescent="0.25"/>
  <cols>
    <col min="1" max="1" width="23.42578125" customWidth="1"/>
    <col min="2" max="2" width="35.5703125" customWidth="1"/>
    <col min="3" max="3" width="19.42578125" customWidth="1"/>
    <col min="4" max="4" width="26.42578125" customWidth="1"/>
    <col min="5" max="5" width="14" customWidth="1"/>
    <col min="6" max="6" width="18" customWidth="1"/>
    <col min="7" max="7" width="33.85546875" bestFit="1" customWidth="1"/>
    <col min="9" max="9" width="9.140625" style="2"/>
  </cols>
  <sheetData>
    <row r="1" spans="1:9" ht="19.5" thickBot="1" x14ac:dyDescent="0.35">
      <c r="A1" s="21" t="s">
        <v>114</v>
      </c>
      <c r="B1" s="20"/>
      <c r="C1" s="20"/>
      <c r="D1" s="20"/>
      <c r="E1" s="20"/>
      <c r="F1" s="20"/>
      <c r="G1" s="19"/>
    </row>
    <row r="2" spans="1:9" ht="16.5" thickTop="1" thickBot="1" x14ac:dyDescent="0.3">
      <c r="A2" s="3"/>
      <c r="B2" s="3"/>
      <c r="C2" s="3"/>
      <c r="D2" s="24"/>
      <c r="E2" s="24"/>
      <c r="F2" s="24"/>
      <c r="G2" s="23"/>
    </row>
    <row r="3" spans="1:9" ht="20.25" thickTop="1" thickBot="1" x14ac:dyDescent="0.35">
      <c r="A3" s="26" t="s">
        <v>97</v>
      </c>
      <c r="B3" s="27"/>
      <c r="C3" s="28"/>
      <c r="D3" s="6"/>
      <c r="E3" s="6"/>
      <c r="F3" s="6"/>
      <c r="G3" s="29"/>
    </row>
    <row r="4" spans="1:9" ht="20.25" thickTop="1" thickBot="1" x14ac:dyDescent="0.35">
      <c r="A4" s="70">
        <v>40826</v>
      </c>
      <c r="B4" s="71">
        <v>40826</v>
      </c>
      <c r="C4" s="72">
        <v>40826</v>
      </c>
      <c r="D4" s="73">
        <v>40826</v>
      </c>
      <c r="E4" s="74">
        <v>40826</v>
      </c>
      <c r="F4" s="75">
        <v>40826</v>
      </c>
      <c r="G4" s="76">
        <v>40826</v>
      </c>
    </row>
    <row r="5" spans="1:9" ht="20.25" thickTop="1" thickBot="1" x14ac:dyDescent="0.35">
      <c r="A5" s="31">
        <v>40835.007638888892</v>
      </c>
      <c r="B5" s="32" t="str">
        <f>TEXT(A5,"dddd mmmm mm yyyy")</f>
        <v>Wednesday October 10 2011</v>
      </c>
      <c r="C5" s="32" t="str">
        <f>TEXT(A5,"mm/ mm")</f>
        <v>10/ 10</v>
      </c>
      <c r="D5" s="33" t="str">
        <f>TEXT(A5, "mmmm-yy")</f>
        <v>October-11</v>
      </c>
      <c r="E5" s="32" t="str">
        <f>TEXT(A5,"mm-mmm")</f>
        <v>10-Oct</v>
      </c>
      <c r="F5" s="32" t="str">
        <f>TEXT(A5, "mm-mmm-yy")</f>
        <v>10-Oct-11</v>
      </c>
      <c r="G5" s="32" t="str">
        <f>TEXT(A5,"dddd mmmm mm, yyyy")</f>
        <v>Wednesday October 10, 2011</v>
      </c>
    </row>
    <row r="6" spans="1:9" ht="20.25" thickTop="1" thickBot="1" x14ac:dyDescent="0.35">
      <c r="A6" s="34">
        <v>40826.007638888892</v>
      </c>
      <c r="B6" s="32" t="str">
        <f t="shared" ref="B6:B16" si="0">TEXT(A6,"dddd mmmm mm yyyy")</f>
        <v>Monday October 10 2011</v>
      </c>
      <c r="C6" s="32" t="str">
        <f t="shared" ref="C6:C16" si="1">TEXT(A6,"mm/ mm")</f>
        <v>10/ 10</v>
      </c>
      <c r="D6" s="33" t="str">
        <f t="shared" ref="D6:D16" si="2">TEXT(A6, "mmmm-yy")</f>
        <v>October-11</v>
      </c>
      <c r="E6" s="32" t="str">
        <f t="shared" ref="E6:E16" si="3">TEXT(A6,"mm-mmm")</f>
        <v>10-Oct</v>
      </c>
      <c r="F6" s="32" t="str">
        <f t="shared" ref="F6:F16" si="4">TEXT(A6, "mm-mmm-yy")</f>
        <v>10-Oct-11</v>
      </c>
      <c r="G6" s="32" t="str">
        <f t="shared" ref="G6:G16" si="5">TEXT(A6,"dddd mmmm mm, yyyy")</f>
        <v>Monday October 10, 2011</v>
      </c>
    </row>
    <row r="7" spans="1:9" ht="20.25" thickTop="1" thickBot="1" x14ac:dyDescent="0.35">
      <c r="A7" s="34">
        <v>40827.007638888892</v>
      </c>
      <c r="B7" s="32" t="str">
        <f t="shared" si="0"/>
        <v>Tuesday October 10 2011</v>
      </c>
      <c r="C7" s="32" t="str">
        <f t="shared" si="1"/>
        <v>10/ 10</v>
      </c>
      <c r="D7" s="33" t="str">
        <f t="shared" si="2"/>
        <v>October-11</v>
      </c>
      <c r="E7" s="32" t="str">
        <f t="shared" si="3"/>
        <v>10-Oct</v>
      </c>
      <c r="F7" s="32" t="str">
        <f t="shared" si="4"/>
        <v>10-Oct-11</v>
      </c>
      <c r="G7" s="32" t="str">
        <f t="shared" si="5"/>
        <v>Tuesday October 10, 2011</v>
      </c>
    </row>
    <row r="8" spans="1:9" ht="20.25" thickTop="1" thickBot="1" x14ac:dyDescent="0.35">
      <c r="A8" s="34">
        <v>40828.007638888892</v>
      </c>
      <c r="B8" s="32" t="str">
        <f t="shared" si="0"/>
        <v>Wednesday October 10 2011</v>
      </c>
      <c r="C8" s="32" t="str">
        <f t="shared" si="1"/>
        <v>10/ 10</v>
      </c>
      <c r="D8" s="33" t="str">
        <f t="shared" si="2"/>
        <v>October-11</v>
      </c>
      <c r="E8" s="32" t="str">
        <f t="shared" si="3"/>
        <v>10-Oct</v>
      </c>
      <c r="F8" s="32" t="str">
        <f t="shared" si="4"/>
        <v>10-Oct-11</v>
      </c>
      <c r="G8" s="32" t="str">
        <f t="shared" si="5"/>
        <v>Wednesday October 10, 2011</v>
      </c>
    </row>
    <row r="9" spans="1:9" ht="20.25" thickTop="1" thickBot="1" x14ac:dyDescent="0.35">
      <c r="A9" s="34">
        <v>40829.007638888892</v>
      </c>
      <c r="B9" s="32" t="str">
        <f t="shared" si="0"/>
        <v>Thursday October 10 2011</v>
      </c>
      <c r="C9" s="32" t="str">
        <f t="shared" si="1"/>
        <v>10/ 10</v>
      </c>
      <c r="D9" s="33" t="str">
        <f t="shared" si="2"/>
        <v>October-11</v>
      </c>
      <c r="E9" s="32" t="str">
        <f t="shared" si="3"/>
        <v>10-Oct</v>
      </c>
      <c r="F9" s="32" t="str">
        <f t="shared" si="4"/>
        <v>10-Oct-11</v>
      </c>
      <c r="G9" s="32" t="str">
        <f t="shared" si="5"/>
        <v>Thursday October 10, 2011</v>
      </c>
      <c r="I9" s="18"/>
    </row>
    <row r="10" spans="1:9" ht="20.25" thickTop="1" thickBot="1" x14ac:dyDescent="0.35">
      <c r="A10" s="34">
        <v>40830.007638888892</v>
      </c>
      <c r="B10" s="32" t="str">
        <f t="shared" si="0"/>
        <v>Friday October 10 2011</v>
      </c>
      <c r="C10" s="32" t="str">
        <f t="shared" si="1"/>
        <v>10/ 10</v>
      </c>
      <c r="D10" s="33" t="str">
        <f t="shared" si="2"/>
        <v>October-11</v>
      </c>
      <c r="E10" s="32" t="str">
        <f t="shared" si="3"/>
        <v>10-Oct</v>
      </c>
      <c r="F10" s="32" t="str">
        <f t="shared" si="4"/>
        <v>10-Oct-11</v>
      </c>
      <c r="G10" s="32" t="str">
        <f t="shared" si="5"/>
        <v>Friday October 10, 2011</v>
      </c>
      <c r="I10"/>
    </row>
    <row r="11" spans="1:9" ht="20.25" thickTop="1" thickBot="1" x14ac:dyDescent="0.35">
      <c r="A11" s="34">
        <v>40831.007638888892</v>
      </c>
      <c r="B11" s="32" t="str">
        <f t="shared" si="0"/>
        <v>Saturday October 10 2011</v>
      </c>
      <c r="C11" s="32" t="str">
        <f t="shared" si="1"/>
        <v>10/ 10</v>
      </c>
      <c r="D11" s="33" t="str">
        <f t="shared" si="2"/>
        <v>October-11</v>
      </c>
      <c r="E11" s="32" t="str">
        <f t="shared" si="3"/>
        <v>10-Oct</v>
      </c>
      <c r="F11" s="32" t="str">
        <f t="shared" si="4"/>
        <v>10-Oct-11</v>
      </c>
      <c r="G11" s="32" t="str">
        <f t="shared" si="5"/>
        <v>Saturday October 10, 2011</v>
      </c>
    </row>
    <row r="12" spans="1:9" ht="20.25" thickTop="1" thickBot="1" x14ac:dyDescent="0.35">
      <c r="A12" s="34">
        <v>40832.007638888892</v>
      </c>
      <c r="B12" s="32" t="str">
        <f t="shared" si="0"/>
        <v>Sunday October 10 2011</v>
      </c>
      <c r="C12" s="32" t="str">
        <f t="shared" si="1"/>
        <v>10/ 10</v>
      </c>
      <c r="D12" s="33" t="str">
        <f t="shared" si="2"/>
        <v>October-11</v>
      </c>
      <c r="E12" s="32" t="str">
        <f t="shared" si="3"/>
        <v>10-Oct</v>
      </c>
      <c r="F12" s="32" t="str">
        <f t="shared" si="4"/>
        <v>10-Oct-11</v>
      </c>
      <c r="G12" s="32" t="str">
        <f t="shared" si="5"/>
        <v>Sunday October 10, 2011</v>
      </c>
      <c r="H12" s="25"/>
    </row>
    <row r="13" spans="1:9" ht="20.25" thickTop="1" thickBot="1" x14ac:dyDescent="0.35">
      <c r="A13" s="35">
        <v>40833.007638888892</v>
      </c>
      <c r="B13" s="32" t="str">
        <f t="shared" si="0"/>
        <v>Monday October 10 2011</v>
      </c>
      <c r="C13" s="32" t="str">
        <f t="shared" si="1"/>
        <v>10/ 10</v>
      </c>
      <c r="D13" s="33" t="str">
        <f t="shared" si="2"/>
        <v>October-11</v>
      </c>
      <c r="E13" s="32" t="str">
        <f t="shared" si="3"/>
        <v>10-Oct</v>
      </c>
      <c r="F13" s="32" t="str">
        <f t="shared" si="4"/>
        <v>10-Oct-11</v>
      </c>
      <c r="G13" s="32" t="str">
        <f t="shared" si="5"/>
        <v>Monday October 10, 2011</v>
      </c>
      <c r="I13"/>
    </row>
    <row r="14" spans="1:9" ht="20.25" thickTop="1" thickBot="1" x14ac:dyDescent="0.35">
      <c r="A14" s="35">
        <v>40834.007638888892</v>
      </c>
      <c r="B14" s="32" t="str">
        <f t="shared" si="0"/>
        <v>Tuesday October 10 2011</v>
      </c>
      <c r="C14" s="32" t="str">
        <f t="shared" si="1"/>
        <v>10/ 10</v>
      </c>
      <c r="D14" s="33" t="str">
        <f t="shared" si="2"/>
        <v>October-11</v>
      </c>
      <c r="E14" s="32" t="str">
        <f t="shared" si="3"/>
        <v>10-Oct</v>
      </c>
      <c r="F14" s="32" t="str">
        <f t="shared" si="4"/>
        <v>10-Oct-11</v>
      </c>
      <c r="G14" s="32" t="str">
        <f t="shared" si="5"/>
        <v>Tuesday October 10, 2011</v>
      </c>
    </row>
    <row r="15" spans="1:9" ht="20.25" thickTop="1" thickBot="1" x14ac:dyDescent="0.35">
      <c r="A15" s="35">
        <v>40835.007638888892</v>
      </c>
      <c r="B15" s="32" t="str">
        <f t="shared" si="0"/>
        <v>Wednesday October 10 2011</v>
      </c>
      <c r="C15" s="32" t="str">
        <f t="shared" si="1"/>
        <v>10/ 10</v>
      </c>
      <c r="D15" s="33" t="str">
        <f t="shared" si="2"/>
        <v>October-11</v>
      </c>
      <c r="E15" s="32" t="str">
        <f t="shared" si="3"/>
        <v>10-Oct</v>
      </c>
      <c r="F15" s="32" t="str">
        <f t="shared" si="4"/>
        <v>10-Oct-11</v>
      </c>
      <c r="G15" s="32" t="str">
        <f t="shared" si="5"/>
        <v>Wednesday October 10, 2011</v>
      </c>
    </row>
    <row r="16" spans="1:9" ht="20.25" thickTop="1" thickBot="1" x14ac:dyDescent="0.35">
      <c r="A16" s="36">
        <v>40836.007638888892</v>
      </c>
      <c r="B16" s="32" t="str">
        <f t="shared" si="0"/>
        <v>Thursday October 10 2011</v>
      </c>
      <c r="C16" s="32" t="str">
        <f t="shared" si="1"/>
        <v>10/ 10</v>
      </c>
      <c r="D16" s="33" t="str">
        <f t="shared" si="2"/>
        <v>October-11</v>
      </c>
      <c r="E16" s="32" t="str">
        <f t="shared" si="3"/>
        <v>10-Oct</v>
      </c>
      <c r="F16" s="32" t="str">
        <f t="shared" si="4"/>
        <v>10-Oct-11</v>
      </c>
      <c r="G16" s="32" t="str">
        <f t="shared" si="5"/>
        <v>Thursday October 10, 2011</v>
      </c>
    </row>
    <row r="17" spans="1:6" ht="15.75" thickTop="1" x14ac:dyDescent="0.25">
      <c r="A17" s="22"/>
      <c r="B17" s="22"/>
      <c r="C17" s="22"/>
      <c r="D17" s="22"/>
      <c r="F17" s="22"/>
    </row>
    <row r="24" spans="1:6" x14ac:dyDescent="0.25">
      <c r="C24" s="1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J12"/>
  <sheetViews>
    <sheetView showGridLines="0" topLeftCell="A3" zoomScaleNormal="100" workbookViewId="0">
      <selection activeCell="D15" sqref="D15"/>
    </sheetView>
  </sheetViews>
  <sheetFormatPr defaultRowHeight="15" x14ac:dyDescent="0.25"/>
  <cols>
    <col min="1" max="1" width="25.5703125" customWidth="1"/>
    <col min="2" max="2" width="15" bestFit="1" customWidth="1"/>
    <col min="3" max="3" width="14.7109375" bestFit="1" customWidth="1"/>
    <col min="4" max="4" width="12.85546875" customWidth="1"/>
    <col min="5" max="5" width="9.5703125" customWidth="1"/>
    <col min="6" max="6" width="25.140625" customWidth="1"/>
    <col min="7" max="7" width="26.42578125" customWidth="1"/>
    <col min="8" max="8" width="29.28515625" customWidth="1"/>
    <col min="9" max="9" width="18" customWidth="1"/>
  </cols>
  <sheetData>
    <row r="1" spans="1:10" ht="20.25" thickTop="1" thickBot="1" x14ac:dyDescent="0.35">
      <c r="A1" s="88" t="s">
        <v>117</v>
      </c>
      <c r="B1" s="40"/>
      <c r="C1" s="39"/>
      <c r="D1" s="40"/>
      <c r="E1" s="40"/>
      <c r="F1" s="40"/>
      <c r="G1" s="40"/>
      <c r="H1" s="40"/>
      <c r="I1" s="44"/>
      <c r="J1" s="25"/>
    </row>
    <row r="2" spans="1:10" s="17" customFormat="1" ht="20.25" thickTop="1" thickBot="1" x14ac:dyDescent="0.35">
      <c r="A2" s="87"/>
      <c r="B2" s="86"/>
      <c r="C2" s="91"/>
      <c r="D2" s="90"/>
      <c r="E2" s="90"/>
      <c r="F2" s="91"/>
      <c r="G2" s="90"/>
      <c r="H2" s="90"/>
      <c r="I2" s="86"/>
      <c r="J2" s="89"/>
    </row>
    <row r="3" spans="1:10" ht="20.25" thickTop="1" thickBot="1" x14ac:dyDescent="0.35">
      <c r="A3" s="85" t="s">
        <v>97</v>
      </c>
      <c r="B3" s="27"/>
      <c r="C3" s="28"/>
      <c r="D3" s="6"/>
      <c r="E3" s="6"/>
      <c r="F3" s="28"/>
      <c r="G3" s="6"/>
      <c r="H3" s="27"/>
      <c r="I3" s="29"/>
    </row>
    <row r="4" spans="1:10" ht="17.25" thickTop="1" thickBot="1" x14ac:dyDescent="0.3">
      <c r="A4" s="84" t="s">
        <v>30</v>
      </c>
      <c r="B4" s="82" t="s">
        <v>31</v>
      </c>
      <c r="C4" s="82" t="s">
        <v>32</v>
      </c>
      <c r="D4" s="82" t="s">
        <v>33</v>
      </c>
      <c r="E4" s="82" t="s">
        <v>34</v>
      </c>
      <c r="F4" s="82" t="s">
        <v>35</v>
      </c>
      <c r="G4" s="82" t="s">
        <v>36</v>
      </c>
      <c r="H4" s="82" t="s">
        <v>37</v>
      </c>
      <c r="I4" s="82" t="s">
        <v>38</v>
      </c>
      <c r="J4" s="25"/>
    </row>
    <row r="5" spans="1:10" ht="17.25" thickTop="1" thickBot="1" x14ac:dyDescent="0.3">
      <c r="A5" s="77" t="s">
        <v>39</v>
      </c>
      <c r="B5" s="81" t="str">
        <f>LEFT(A5,SEARCH(" ",A5)-1)</f>
        <v>Rohit</v>
      </c>
      <c r="C5" s="81" t="str">
        <f>RIGHT(A5,LEN(A5) - SEARCH(" ",A5))</f>
        <v>Gupta</v>
      </c>
      <c r="D5" s="81"/>
      <c r="E5" s="81">
        <f>LEN(A5)</f>
        <v>11</v>
      </c>
      <c r="F5" s="81">
        <f>SEARCH(" ",A5)</f>
        <v>6</v>
      </c>
      <c r="G5" s="81">
        <f>IFERROR(SEARCH(" ",A5,SEARCH(" ",A5)+1), 0)</f>
        <v>0</v>
      </c>
      <c r="H5" s="81" t="str">
        <f>SUBSTITUTE(A5, " ", "-")</f>
        <v>Rohit-Gupta</v>
      </c>
      <c r="I5" s="93">
        <f>LEN(A5) - LEN(SUBSTITUTE(A5, " ",  "" ))</f>
        <v>1</v>
      </c>
    </row>
    <row r="6" spans="1:10" ht="17.25" thickTop="1" thickBot="1" x14ac:dyDescent="0.3">
      <c r="A6" s="78" t="s">
        <v>40</v>
      </c>
      <c r="B6" s="81" t="str">
        <f t="shared" ref="B6:B11" si="0">LEFT(A6,SEARCH(" ",A6)-1)</f>
        <v>Sanjeev</v>
      </c>
      <c r="C6" s="81" t="str">
        <f>RIGHT(A6,LEN(A6) - SEARCH(" ",A6))</f>
        <v>kumar</v>
      </c>
      <c r="D6" s="80"/>
      <c r="E6" s="81">
        <f t="shared" ref="E6:E11" si="1">LEN(A6)</f>
        <v>13</v>
      </c>
      <c r="F6" s="81">
        <f t="shared" ref="F6:F11" si="2">SEARCH(" ",A6)</f>
        <v>8</v>
      </c>
      <c r="G6" s="81">
        <f t="shared" ref="G6:G11" si="3">IFERROR(SEARCH(" ",A6,SEARCH(" ",A6)+1), 0)</f>
        <v>0</v>
      </c>
      <c r="H6" s="81" t="str">
        <f t="shared" ref="H6:H11" si="4">SUBSTITUTE(A6, " ", "-")</f>
        <v>Sanjeev-kumar</v>
      </c>
      <c r="I6" s="93">
        <f t="shared" ref="I6:I11" si="5">LEN(A6) - LEN(SUBSTITUTE(A6, " ",  "" ))</f>
        <v>1</v>
      </c>
    </row>
    <row r="7" spans="1:10" ht="17.25" thickTop="1" thickBot="1" x14ac:dyDescent="0.3">
      <c r="A7" s="79" t="s">
        <v>41</v>
      </c>
      <c r="B7" s="81" t="str">
        <f t="shared" si="0"/>
        <v>Rohit</v>
      </c>
      <c r="C7" s="81" t="str">
        <f>RIGHT(A7,LEN(A7)-SEARCH(" ",A7,SEARCH(" ",A7)+1))</f>
        <v>Gupta</v>
      </c>
      <c r="D7" s="92" t="str">
        <f>MID(A7,                   SEARCH(" ",A7)  +1, SEARCH(" ",A7,SEARCH(" ",A7)+1)           -   SEARCH(" ",A7) )</f>
        <v xml:space="preserve">Kumar </v>
      </c>
      <c r="E7" s="81">
        <f t="shared" si="1"/>
        <v>17</v>
      </c>
      <c r="F7" s="81">
        <f t="shared" si="2"/>
        <v>6</v>
      </c>
      <c r="G7" s="81">
        <f>IFERROR(SEARCH(" ",A7,SEARCH(" ",A7)+1), 0)</f>
        <v>12</v>
      </c>
      <c r="H7" s="81" t="str">
        <f t="shared" si="4"/>
        <v>Rohit-Kumar-Gupta</v>
      </c>
      <c r="I7" s="93">
        <f t="shared" si="5"/>
        <v>2</v>
      </c>
      <c r="J7" s="25"/>
    </row>
    <row r="8" spans="1:10" ht="17.25" thickTop="1" thickBot="1" x14ac:dyDescent="0.3">
      <c r="A8" s="78" t="s">
        <v>42</v>
      </c>
      <c r="B8" s="81" t="str">
        <f>LEFT(A8,SEARCH(" ",A8)-1)</f>
        <v>Naveen</v>
      </c>
      <c r="C8" s="81" t="str">
        <f t="shared" ref="C8:C11" si="6">RIGHT(A8,LEN(A8)-SEARCH(" ",A8,SEARCH(" ",A8)+1))</f>
        <v>Singh</v>
      </c>
      <c r="D8" s="92" t="str">
        <f>MID(A8,    SEARCH(" ",A8) +1,   (SEARCH(" ",A8,SEARCH(" ",A8) +1 )   - SEARCH(" ",A8)  )                    )</f>
        <v xml:space="preserve">Chauhan </v>
      </c>
      <c r="E8" s="81">
        <f t="shared" si="1"/>
        <v>20</v>
      </c>
      <c r="F8" s="81">
        <f t="shared" si="2"/>
        <v>7</v>
      </c>
      <c r="G8" s="81">
        <f t="shared" si="3"/>
        <v>15</v>
      </c>
      <c r="H8" s="81" t="str">
        <f t="shared" si="4"/>
        <v>Naveen-Chauhan-Singh</v>
      </c>
      <c r="I8" s="93">
        <f t="shared" si="5"/>
        <v>2</v>
      </c>
    </row>
    <row r="9" spans="1:10" ht="17.25" thickTop="1" thickBot="1" x14ac:dyDescent="0.3">
      <c r="A9" s="78" t="s">
        <v>43</v>
      </c>
      <c r="B9" s="81" t="str">
        <f t="shared" si="0"/>
        <v>Arti</v>
      </c>
      <c r="C9" s="81" t="str">
        <f t="shared" si="6"/>
        <v>Chauhan</v>
      </c>
      <c r="D9" s="92" t="str">
        <f t="shared" ref="D9:D11" si="7">MID(A9,    SEARCH(" ",A9) +1,   (SEARCH(" ",A9,SEARCH(" ",A9) +1 )   - SEARCH(" ",A9)  )                    )</f>
        <v xml:space="preserve">Singh </v>
      </c>
      <c r="E9" s="81">
        <f t="shared" si="1"/>
        <v>18</v>
      </c>
      <c r="F9" s="81">
        <f t="shared" si="2"/>
        <v>5</v>
      </c>
      <c r="G9" s="81">
        <f t="shared" si="3"/>
        <v>11</v>
      </c>
      <c r="H9" s="81" t="str">
        <f t="shared" si="4"/>
        <v>Arti-Singh-Chauhan</v>
      </c>
      <c r="I9" s="93">
        <f t="shared" si="5"/>
        <v>2</v>
      </c>
    </row>
    <row r="10" spans="1:10" ht="17.25" thickTop="1" thickBot="1" x14ac:dyDescent="0.3">
      <c r="A10" s="79" t="s">
        <v>44</v>
      </c>
      <c r="B10" s="81" t="str">
        <f t="shared" si="0"/>
        <v>Rohit</v>
      </c>
      <c r="C10" s="81" t="str">
        <f t="shared" si="6"/>
        <v>Man</v>
      </c>
      <c r="D10" s="92" t="str">
        <f t="shared" si="7"/>
        <v xml:space="preserve">Arora </v>
      </c>
      <c r="E10" s="81">
        <f t="shared" si="1"/>
        <v>15</v>
      </c>
      <c r="F10" s="81">
        <f t="shared" si="2"/>
        <v>6</v>
      </c>
      <c r="G10" s="81">
        <f t="shared" si="3"/>
        <v>12</v>
      </c>
      <c r="H10" s="81" t="str">
        <f t="shared" si="4"/>
        <v>Rohit-Arora-Man</v>
      </c>
      <c r="I10" s="93">
        <f t="shared" si="5"/>
        <v>2</v>
      </c>
    </row>
    <row r="11" spans="1:10" ht="17.25" thickTop="1" thickBot="1" x14ac:dyDescent="0.3">
      <c r="A11" s="83" t="s">
        <v>45</v>
      </c>
      <c r="B11" s="81" t="str">
        <f t="shared" si="0"/>
        <v>Rahul</v>
      </c>
      <c r="C11" s="81" t="str">
        <f t="shared" si="6"/>
        <v>verma</v>
      </c>
      <c r="D11" s="92" t="str">
        <f t="shared" si="7"/>
        <v xml:space="preserve">badhe </v>
      </c>
      <c r="E11" s="81">
        <f t="shared" si="1"/>
        <v>17</v>
      </c>
      <c r="F11" s="81">
        <f t="shared" si="2"/>
        <v>6</v>
      </c>
      <c r="G11" s="81">
        <f t="shared" si="3"/>
        <v>12</v>
      </c>
      <c r="H11" s="81" t="str">
        <f t="shared" si="4"/>
        <v>Rahul-badhe-verma</v>
      </c>
      <c r="I11" s="93">
        <f t="shared" si="5"/>
        <v>2</v>
      </c>
    </row>
    <row r="12" spans="1:10" ht="15.75" thickTop="1" x14ac:dyDescent="0.2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77B0-FC76-471D-B6B7-6F5D1B5D4B6B}">
  <dimension ref="A1:I12"/>
  <sheetViews>
    <sheetView showGridLines="0" workbookViewId="0">
      <selection activeCell="E9" sqref="E9:H9"/>
    </sheetView>
  </sheetViews>
  <sheetFormatPr defaultRowHeight="15" x14ac:dyDescent="0.25"/>
  <cols>
    <col min="10" max="10" width="38.7109375" customWidth="1"/>
  </cols>
  <sheetData>
    <row r="1" spans="1:9" ht="22.5" thickTop="1" thickBot="1" x14ac:dyDescent="0.3">
      <c r="A1" s="153" t="s">
        <v>127</v>
      </c>
      <c r="B1" s="154"/>
      <c r="C1" s="154"/>
      <c r="D1" s="154"/>
      <c r="E1" s="154"/>
      <c r="F1" s="154"/>
      <c r="G1" s="154"/>
      <c r="H1" s="155"/>
      <c r="I1" s="25"/>
    </row>
    <row r="2" spans="1:9" ht="16.5" thickTop="1" thickBot="1" x14ac:dyDescent="0.3">
      <c r="A2" s="42"/>
      <c r="B2" s="22"/>
      <c r="C2" s="22"/>
      <c r="D2" s="22"/>
      <c r="F2" s="22"/>
    </row>
    <row r="3" spans="1:9" ht="20.25" thickTop="1" thickBot="1" x14ac:dyDescent="0.3">
      <c r="A3" s="116" t="s">
        <v>128</v>
      </c>
      <c r="B3" s="156" t="s">
        <v>118</v>
      </c>
      <c r="C3" s="144"/>
      <c r="D3" s="144"/>
      <c r="E3" s="144"/>
      <c r="F3" s="144"/>
      <c r="G3" s="144"/>
      <c r="H3" s="145"/>
    </row>
    <row r="4" spans="1:9" ht="18" thickTop="1" x14ac:dyDescent="0.3">
      <c r="A4" s="115">
        <v>1</v>
      </c>
      <c r="B4" s="157" t="s">
        <v>121</v>
      </c>
      <c r="C4" s="158"/>
      <c r="D4" s="158"/>
      <c r="E4" s="158"/>
      <c r="F4" s="158"/>
      <c r="G4" s="158"/>
      <c r="H4" s="159"/>
    </row>
    <row r="5" spans="1:9" ht="17.25" x14ac:dyDescent="0.3">
      <c r="A5" s="113">
        <v>2</v>
      </c>
      <c r="B5" s="157" t="s">
        <v>123</v>
      </c>
      <c r="C5" s="158"/>
      <c r="D5" s="158"/>
      <c r="E5" s="158"/>
      <c r="F5" s="158"/>
      <c r="G5" s="158"/>
      <c r="H5" s="159"/>
      <c r="I5" s="25"/>
    </row>
    <row r="6" spans="1:9" ht="18" thickBot="1" x14ac:dyDescent="0.35">
      <c r="A6" s="114">
        <v>3</v>
      </c>
      <c r="B6" s="160" t="s">
        <v>125</v>
      </c>
      <c r="C6" s="161"/>
      <c r="D6" s="161"/>
      <c r="E6" s="161"/>
      <c r="F6" s="161"/>
      <c r="G6" s="161"/>
      <c r="H6" s="162"/>
      <c r="I6" s="25"/>
    </row>
    <row r="7" spans="1:9" ht="16.5" thickTop="1" thickBot="1" x14ac:dyDescent="0.3"/>
    <row r="8" spans="1:9" ht="18.600000000000001" customHeight="1" thickTop="1" thickBot="1" x14ac:dyDescent="0.3">
      <c r="A8" s="140" t="s">
        <v>97</v>
      </c>
      <c r="B8" s="143" t="s">
        <v>119</v>
      </c>
      <c r="C8" s="144"/>
      <c r="D8" s="144"/>
      <c r="E8" s="143" t="s">
        <v>120</v>
      </c>
      <c r="F8" s="144"/>
      <c r="G8" s="144"/>
      <c r="H8" s="145"/>
    </row>
    <row r="9" spans="1:9" ht="14.45" customHeight="1" thickTop="1" thickBot="1" x14ac:dyDescent="0.35">
      <c r="A9" s="141"/>
      <c r="B9" s="149" t="s">
        <v>122</v>
      </c>
      <c r="C9" s="150"/>
      <c r="D9" s="151"/>
      <c r="E9" s="146">
        <f xml:space="preserve"> (  LEN(B4)    -LEN(SUBSTITUTE(B4,B9,"")) )  /  (LEN(B9))</f>
        <v>3</v>
      </c>
      <c r="F9" s="147"/>
      <c r="G9" s="147"/>
      <c r="H9" s="148"/>
    </row>
    <row r="10" spans="1:9" ht="14.45" customHeight="1" thickTop="1" thickBot="1" x14ac:dyDescent="0.35">
      <c r="A10" s="141"/>
      <c r="B10" s="152" t="s">
        <v>124</v>
      </c>
      <c r="C10" s="152"/>
      <c r="D10" s="152"/>
      <c r="E10" s="146">
        <f t="shared" ref="E10:E11" si="0" xml:space="preserve"> (  LEN(B5)    -LEN(SUBSTITUTE(B5,B10,"")) )  /  (LEN(B10))</f>
        <v>2</v>
      </c>
      <c r="F10" s="147"/>
      <c r="G10" s="147"/>
      <c r="H10" s="148"/>
    </row>
    <row r="11" spans="1:9" ht="14.45" customHeight="1" thickTop="1" thickBot="1" x14ac:dyDescent="0.35">
      <c r="A11" s="142"/>
      <c r="B11" s="152" t="s">
        <v>126</v>
      </c>
      <c r="C11" s="152"/>
      <c r="D11" s="152"/>
      <c r="E11" s="146">
        <f t="shared" si="0"/>
        <v>4</v>
      </c>
      <c r="F11" s="147"/>
      <c r="G11" s="147"/>
      <c r="H11" s="148"/>
      <c r="I11" s="25"/>
    </row>
    <row r="12" spans="1:9" ht="15.75" thickTop="1" x14ac:dyDescent="0.25">
      <c r="B12" s="22"/>
      <c r="C12" s="22"/>
      <c r="D12" s="22"/>
    </row>
  </sheetData>
  <mergeCells count="14">
    <mergeCell ref="A1:H1"/>
    <mergeCell ref="B3:H3"/>
    <mergeCell ref="B4:H4"/>
    <mergeCell ref="B5:H5"/>
    <mergeCell ref="B6:H6"/>
    <mergeCell ref="A8:A11"/>
    <mergeCell ref="E8:H8"/>
    <mergeCell ref="E9:H9"/>
    <mergeCell ref="E10:H10"/>
    <mergeCell ref="E11:H11"/>
    <mergeCell ref="B8:D8"/>
    <mergeCell ref="B9:D9"/>
    <mergeCell ref="B10:D10"/>
    <mergeCell ref="B11:D1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41BF2-99F4-4FA4-B0D4-0C3F976345C6}">
  <dimension ref="A1:M12"/>
  <sheetViews>
    <sheetView showGridLines="0" topLeftCell="A5" zoomScaleNormal="100" workbookViewId="0">
      <selection activeCell="G10" sqref="G10:J10"/>
    </sheetView>
  </sheetViews>
  <sheetFormatPr defaultRowHeight="15" x14ac:dyDescent="0.25"/>
  <cols>
    <col min="4" max="4" width="10" customWidth="1"/>
    <col min="10" max="10" width="16.5703125" customWidth="1"/>
    <col min="12" max="12" width="17" customWidth="1"/>
    <col min="13" max="13" width="16.42578125" customWidth="1"/>
  </cols>
  <sheetData>
    <row r="1" spans="1:13" ht="21.95" customHeight="1" thickTop="1" x14ac:dyDescent="0.25">
      <c r="A1" s="172" t="s">
        <v>139</v>
      </c>
      <c r="B1" s="173"/>
      <c r="C1" s="173"/>
      <c r="D1" s="173"/>
      <c r="E1" s="173"/>
      <c r="F1" s="173"/>
      <c r="G1" s="173"/>
      <c r="H1" s="173"/>
      <c r="I1" s="173"/>
      <c r="J1" s="174"/>
    </row>
    <row r="2" spans="1:13" ht="21.95" customHeight="1" thickBot="1" x14ac:dyDescent="0.3">
      <c r="A2" s="175"/>
      <c r="B2" s="176"/>
      <c r="C2" s="176"/>
      <c r="D2" s="176"/>
      <c r="E2" s="176"/>
      <c r="F2" s="176"/>
      <c r="G2" s="176"/>
      <c r="H2" s="176"/>
      <c r="I2" s="176"/>
      <c r="J2" s="177"/>
    </row>
    <row r="3" spans="1:13" s="17" customFormat="1" ht="21.95" customHeight="1" thickTop="1" thickBot="1" x14ac:dyDescent="0.3">
      <c r="A3" s="123"/>
      <c r="B3" s="118"/>
      <c r="C3" s="118"/>
      <c r="D3" s="118"/>
      <c r="E3" s="124"/>
      <c r="F3" s="118"/>
      <c r="G3" s="118"/>
      <c r="H3" s="118"/>
      <c r="I3" s="118"/>
      <c r="J3" s="118"/>
      <c r="K3" s="118"/>
    </row>
    <row r="4" spans="1:13" s="17" customFormat="1" ht="21.95" customHeight="1" thickTop="1" thickBot="1" x14ac:dyDescent="0.3">
      <c r="A4" s="178" t="s">
        <v>97</v>
      </c>
      <c r="B4" s="178"/>
      <c r="C4" s="178"/>
      <c r="D4" s="178"/>
      <c r="E4" s="178"/>
      <c r="F4" s="178"/>
      <c r="G4" s="178"/>
      <c r="H4" s="178"/>
      <c r="I4" s="178"/>
      <c r="J4" s="179"/>
      <c r="K4" s="121"/>
      <c r="M4"/>
    </row>
    <row r="5" spans="1:13" ht="20.25" thickTop="1" thickBot="1" x14ac:dyDescent="0.3">
      <c r="A5" s="117" t="s">
        <v>140</v>
      </c>
      <c r="B5" s="143" t="s">
        <v>119</v>
      </c>
      <c r="C5" s="144"/>
      <c r="D5" s="145"/>
      <c r="E5" s="143" t="s">
        <v>138</v>
      </c>
      <c r="F5" s="145"/>
      <c r="G5" s="143" t="s">
        <v>137</v>
      </c>
      <c r="H5" s="144"/>
      <c r="I5" s="144"/>
      <c r="J5" s="145"/>
    </row>
    <row r="6" spans="1:13" ht="18.75" thickTop="1" thickBot="1" x14ac:dyDescent="0.3">
      <c r="A6" s="120">
        <v>1</v>
      </c>
      <c r="B6" s="180" t="s">
        <v>136</v>
      </c>
      <c r="C6" s="182"/>
      <c r="D6" s="181"/>
      <c r="E6" s="180" t="s">
        <v>132</v>
      </c>
      <c r="F6" s="181"/>
      <c r="G6" s="169" t="str" cm="1">
        <f t="array" ref="G6" xml:space="preserve"> PROPER(   _xlfn.SWITCH(E6, "F", "Mrs.",  "Mr." )&amp; " " &amp;RIGHT(B6,LEN(B6)-(SEARCH(",",B6)))&amp;  " " &amp;LEFT(B6,SEARCH(",",B6)-1) )</f>
        <v>Mrs. Bharti Gupta</v>
      </c>
      <c r="H6" s="170"/>
      <c r="I6" s="170"/>
      <c r="J6" s="171"/>
      <c r="K6" s="25"/>
    </row>
    <row r="7" spans="1:13" ht="18.75" thickTop="1" thickBot="1" x14ac:dyDescent="0.3">
      <c r="A7" s="122">
        <v>2</v>
      </c>
      <c r="B7" s="163" t="s">
        <v>135</v>
      </c>
      <c r="C7" s="164"/>
      <c r="D7" s="165"/>
      <c r="E7" s="163" t="s">
        <v>129</v>
      </c>
      <c r="F7" s="165"/>
      <c r="G7" s="169" t="str" cm="1">
        <f t="array" ref="G7" xml:space="preserve"> PROPER(   _xlfn.SWITCH(E7, "F", "Mrs.",  "Mr." )&amp; " " &amp;RIGHT(B7,LEN(B7)-(SEARCH(",",B7)))&amp;  " " &amp;LEFT(B7,SEARCH(",",B7)-1) )</f>
        <v>Mr. Chandan Negi</v>
      </c>
      <c r="H7" s="170"/>
      <c r="I7" s="170"/>
      <c r="J7" s="171"/>
      <c r="K7" s="25"/>
    </row>
    <row r="8" spans="1:13" ht="18.75" thickTop="1" thickBot="1" x14ac:dyDescent="0.3">
      <c r="A8" s="119">
        <v>3</v>
      </c>
      <c r="B8" s="163" t="s">
        <v>134</v>
      </c>
      <c r="C8" s="164"/>
      <c r="D8" s="165"/>
      <c r="E8" s="163" t="s">
        <v>132</v>
      </c>
      <c r="F8" s="165"/>
      <c r="G8" s="169" t="str" cm="1">
        <f t="array" ref="G8" xml:space="preserve"> PROPER(   _xlfn.SWITCH(E8, "F", "Mrs.",  "Mr." )&amp; " " &amp;RIGHT(B8,LEN(B8)-(SEARCH(",",B8)))&amp;  " " &amp;LEFT(B8,SEARCH(",",B8)-1) )</f>
        <v>Mrs. Neha Malhotra</v>
      </c>
      <c r="H8" s="170"/>
      <c r="I8" s="170"/>
      <c r="J8" s="171"/>
      <c r="K8" s="25"/>
    </row>
    <row r="9" spans="1:13" ht="18.75" thickTop="1" thickBot="1" x14ac:dyDescent="0.3">
      <c r="A9" s="119">
        <v>4</v>
      </c>
      <c r="B9" s="163" t="s">
        <v>133</v>
      </c>
      <c r="C9" s="164"/>
      <c r="D9" s="165"/>
      <c r="E9" s="163" t="s">
        <v>132</v>
      </c>
      <c r="F9" s="165"/>
      <c r="G9" s="169" t="str" cm="1">
        <f t="array" ref="G9" xml:space="preserve"> PROPER(   _xlfn.SWITCH(E9, "F", "Mrs.",  "Mr." )&amp; " " &amp;RIGHT(B9,LEN(B9)-(SEARCH(",",B9)))&amp;  " " &amp;LEFT(B9,SEARCH(",",B9)-1) )</f>
        <v>Mrs. Daljeet Kaur</v>
      </c>
      <c r="H9" s="170"/>
      <c r="I9" s="170"/>
      <c r="J9" s="171"/>
      <c r="K9" s="25"/>
    </row>
    <row r="10" spans="1:13" ht="18.75" thickTop="1" thickBot="1" x14ac:dyDescent="0.3">
      <c r="A10" s="119">
        <v>5</v>
      </c>
      <c r="B10" s="163" t="s">
        <v>131</v>
      </c>
      <c r="C10" s="164"/>
      <c r="D10" s="165"/>
      <c r="E10" s="163" t="s">
        <v>129</v>
      </c>
      <c r="F10" s="165"/>
      <c r="G10" s="169" t="str" cm="1">
        <f t="array" ref="G10" xml:space="preserve"> PROPER(   _xlfn.SWITCH(E10, "F", "Mrs.",  "Mr." )&amp; " " &amp;RIGHT(B10,LEN(B10)-(SEARCH(",",B10)))&amp;  " " &amp;LEFT(B10,SEARCH(",",B10)-1) )</f>
        <v>Mr. Virit Shukla</v>
      </c>
      <c r="H10" s="170"/>
      <c r="I10" s="170"/>
      <c r="J10" s="171"/>
      <c r="K10" s="25"/>
    </row>
    <row r="11" spans="1:13" ht="18.75" thickTop="1" thickBot="1" x14ac:dyDescent="0.3">
      <c r="A11" s="119">
        <v>6</v>
      </c>
      <c r="B11" s="166" t="s">
        <v>130</v>
      </c>
      <c r="C11" s="168"/>
      <c r="D11" s="167"/>
      <c r="E11" s="166" t="s">
        <v>129</v>
      </c>
      <c r="F11" s="167"/>
      <c r="G11" s="169" t="str" cm="1">
        <f t="array" ref="G11" xml:space="preserve"> PROPER(   _xlfn.SWITCH(E11, "F", "Mrs.",  "Mr." )&amp; " " &amp;RIGHT(B11,LEN(B11)-(SEARCH(",",B11)))&amp;  " " &amp;LEFT(B11,SEARCH(",",B11)-1) )</f>
        <v>Mr. Priyank Agarwal</v>
      </c>
      <c r="H11" s="170"/>
      <c r="I11" s="170"/>
      <c r="J11" s="171"/>
    </row>
    <row r="12" spans="1:13" ht="15.75" thickTop="1" x14ac:dyDescent="0.25">
      <c r="A12" s="22"/>
      <c r="E12" s="22"/>
      <c r="F12" s="22"/>
    </row>
  </sheetData>
  <mergeCells count="23">
    <mergeCell ref="G8:J8"/>
    <mergeCell ref="G9:J9"/>
    <mergeCell ref="G10:J10"/>
    <mergeCell ref="G11:J11"/>
    <mergeCell ref="A1:J2"/>
    <mergeCell ref="A4:J4"/>
    <mergeCell ref="G5:J5"/>
    <mergeCell ref="G6:J6"/>
    <mergeCell ref="G7:J7"/>
    <mergeCell ref="E6:F6"/>
    <mergeCell ref="E7:F7"/>
    <mergeCell ref="E5:F5"/>
    <mergeCell ref="B6:D6"/>
    <mergeCell ref="B7:D7"/>
    <mergeCell ref="B5:D5"/>
    <mergeCell ref="B9:D9"/>
    <mergeCell ref="B8:D8"/>
    <mergeCell ref="E11:F11"/>
    <mergeCell ref="E10:F10"/>
    <mergeCell ref="E9:F9"/>
    <mergeCell ref="E8:F8"/>
    <mergeCell ref="B11:D11"/>
    <mergeCell ref="B10:D10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C06EB-40E2-42A0-BDCD-BC8C13BCA991}">
  <dimension ref="A1:I9"/>
  <sheetViews>
    <sheetView showGridLines="0" zoomScaleNormal="100" workbookViewId="0">
      <selection activeCell="G5" sqref="G5:H5"/>
    </sheetView>
  </sheetViews>
  <sheetFormatPr defaultRowHeight="15" x14ac:dyDescent="0.25"/>
  <sheetData>
    <row r="1" spans="1:9" ht="18.75" x14ac:dyDescent="0.25">
      <c r="A1" s="187" t="s">
        <v>147</v>
      </c>
      <c r="B1" s="188"/>
      <c r="C1" s="188"/>
      <c r="D1" s="188"/>
      <c r="E1" s="188"/>
      <c r="F1" s="188"/>
      <c r="G1" s="188"/>
      <c r="H1" s="188"/>
    </row>
    <row r="2" spans="1:9" ht="15.75" thickBot="1" x14ac:dyDescent="0.3"/>
    <row r="3" spans="1:9" ht="20.25" thickTop="1" thickBot="1" x14ac:dyDescent="0.3">
      <c r="A3" s="183" t="s">
        <v>97</v>
      </c>
      <c r="B3" s="184"/>
      <c r="C3" s="184"/>
      <c r="D3" s="184"/>
      <c r="E3" s="184"/>
      <c r="F3" s="184"/>
      <c r="G3" s="184"/>
      <c r="H3" s="184"/>
      <c r="I3" s="25"/>
    </row>
    <row r="4" spans="1:9" ht="20.25" thickTop="1" thickBot="1" x14ac:dyDescent="0.3">
      <c r="A4" s="126" t="s">
        <v>140</v>
      </c>
      <c r="B4" s="189" t="s">
        <v>146</v>
      </c>
      <c r="C4" s="190"/>
      <c r="D4" s="190"/>
      <c r="E4" s="190"/>
      <c r="F4" s="191"/>
      <c r="G4" s="185" t="s">
        <v>145</v>
      </c>
      <c r="H4" s="186"/>
      <c r="I4" s="25"/>
    </row>
    <row r="5" spans="1:9" ht="18.75" thickTop="1" thickBot="1" x14ac:dyDescent="0.35">
      <c r="A5" s="127">
        <v>1</v>
      </c>
      <c r="B5" s="192" t="s">
        <v>144</v>
      </c>
      <c r="C5" s="193"/>
      <c r="D5" s="193"/>
      <c r="E5" s="193"/>
      <c r="F5" s="194"/>
      <c r="G5" s="146" t="str">
        <f>RIGHT(B5,LEN(B5)-(SEARCH("check",B5)+7))</f>
        <v>12345</v>
      </c>
      <c r="H5" s="148"/>
      <c r="I5" s="25"/>
    </row>
    <row r="6" spans="1:9" ht="18.75" thickTop="1" thickBot="1" x14ac:dyDescent="0.35">
      <c r="A6" s="125">
        <v>2</v>
      </c>
      <c r="B6" s="157" t="s">
        <v>143</v>
      </c>
      <c r="C6" s="158"/>
      <c r="D6" s="158"/>
      <c r="E6" s="158"/>
      <c r="F6" s="159"/>
      <c r="G6" s="146" t="str">
        <f t="shared" ref="G6:G8" si="0">RIGHT(B6,LEN(B6)-(SEARCH("check",B6)+7))</f>
        <v>123456</v>
      </c>
      <c r="H6" s="148"/>
      <c r="I6" s="25"/>
    </row>
    <row r="7" spans="1:9" ht="18.75" thickTop="1" thickBot="1" x14ac:dyDescent="0.35">
      <c r="A7" s="125">
        <v>3</v>
      </c>
      <c r="B7" s="157" t="s">
        <v>142</v>
      </c>
      <c r="C7" s="158"/>
      <c r="D7" s="158"/>
      <c r="E7" s="158"/>
      <c r="F7" s="159"/>
      <c r="G7" s="146" t="str">
        <f t="shared" si="0"/>
        <v>000789</v>
      </c>
      <c r="H7" s="148"/>
      <c r="I7" s="25"/>
    </row>
    <row r="8" spans="1:9" ht="18.75" thickTop="1" thickBot="1" x14ac:dyDescent="0.35">
      <c r="A8" s="125">
        <v>4</v>
      </c>
      <c r="B8" s="160" t="s">
        <v>141</v>
      </c>
      <c r="C8" s="161"/>
      <c r="D8" s="161"/>
      <c r="E8" s="161"/>
      <c r="F8" s="162"/>
      <c r="G8" s="146" t="str">
        <f t="shared" si="0"/>
        <v>123456</v>
      </c>
      <c r="H8" s="148"/>
      <c r="I8" s="25"/>
    </row>
    <row r="9" spans="1:9" ht="15.75" thickTop="1" x14ac:dyDescent="0.25">
      <c r="A9" s="22"/>
    </row>
  </sheetData>
  <mergeCells count="12">
    <mergeCell ref="A1:H1"/>
    <mergeCell ref="B4:F4"/>
    <mergeCell ref="B5:F5"/>
    <mergeCell ref="B6:F6"/>
    <mergeCell ref="B7:F7"/>
    <mergeCell ref="B8:F8"/>
    <mergeCell ref="A3:H3"/>
    <mergeCell ref="G4:H4"/>
    <mergeCell ref="G5:H5"/>
    <mergeCell ref="G6:H6"/>
    <mergeCell ref="G7:H7"/>
    <mergeCell ref="G8:H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9157C-17E4-4539-9F73-7788D71432E9}">
  <dimension ref="A1:R35"/>
  <sheetViews>
    <sheetView showGridLines="0" zoomScale="96" zoomScaleNormal="96" workbookViewId="0">
      <selection activeCell="L11" sqref="L11"/>
    </sheetView>
  </sheetViews>
  <sheetFormatPr defaultRowHeight="15" x14ac:dyDescent="0.25"/>
  <cols>
    <col min="1" max="1" width="10.42578125" customWidth="1"/>
    <col min="2" max="2" width="17.28515625" customWidth="1"/>
    <col min="3" max="6" width="14.28515625" customWidth="1"/>
    <col min="7" max="8" width="16.140625" customWidth="1"/>
    <col min="9" max="11" width="14.28515625" customWidth="1"/>
  </cols>
  <sheetData>
    <row r="1" spans="1:18" ht="20.25" thickTop="1" thickBot="1" x14ac:dyDescent="0.35">
      <c r="A1" s="68" t="s">
        <v>116</v>
      </c>
      <c r="B1" s="40"/>
      <c r="C1" s="40"/>
      <c r="D1" s="40"/>
      <c r="E1" s="40"/>
      <c r="F1" s="44"/>
      <c r="G1" s="40"/>
      <c r="H1" s="40"/>
      <c r="I1" s="40"/>
      <c r="J1" s="40"/>
      <c r="K1" s="44"/>
      <c r="L1" s="95"/>
      <c r="M1" s="4"/>
      <c r="N1" s="4"/>
      <c r="O1" s="4"/>
      <c r="P1" s="4"/>
      <c r="Q1" s="4"/>
      <c r="R1" s="4"/>
    </row>
    <row r="2" spans="1:18" ht="20.25" thickTop="1" thickBot="1" x14ac:dyDescent="0.35">
      <c r="A2" s="91"/>
      <c r="B2" s="86"/>
      <c r="C2" s="99"/>
      <c r="D2" s="91"/>
      <c r="E2" s="91"/>
      <c r="F2" s="86"/>
      <c r="G2" s="91"/>
      <c r="H2" s="86"/>
      <c r="I2" s="91"/>
      <c r="J2" s="91"/>
      <c r="K2" s="86"/>
      <c r="L2" s="4"/>
      <c r="M2" s="4"/>
      <c r="N2" s="4"/>
      <c r="O2" s="4"/>
      <c r="P2" s="4"/>
      <c r="Q2" s="4"/>
      <c r="R2" s="4"/>
    </row>
    <row r="3" spans="1:18" ht="20.25" thickTop="1" thickBot="1" x14ac:dyDescent="0.35">
      <c r="A3" s="204" t="s">
        <v>83</v>
      </c>
      <c r="B3" s="205"/>
      <c r="C3" s="205"/>
      <c r="D3" s="205"/>
      <c r="E3" s="206"/>
      <c r="F3" s="109"/>
      <c r="G3" s="198" t="s">
        <v>84</v>
      </c>
      <c r="H3" s="199"/>
      <c r="I3" s="199"/>
      <c r="J3" s="199"/>
      <c r="K3" s="200"/>
      <c r="L3" s="95"/>
      <c r="M3" s="4"/>
      <c r="N3" s="4"/>
      <c r="O3" s="4"/>
      <c r="P3" s="4"/>
      <c r="Q3" s="4"/>
      <c r="R3" s="4"/>
    </row>
    <row r="4" spans="1:18" ht="20.25" thickTop="1" thickBot="1" x14ac:dyDescent="0.35">
      <c r="A4" s="207"/>
      <c r="B4" s="208"/>
      <c r="C4" s="208"/>
      <c r="D4" s="208"/>
      <c r="E4" s="209"/>
      <c r="F4" s="86"/>
      <c r="G4" s="210" t="s">
        <v>46</v>
      </c>
      <c r="H4" s="211"/>
      <c r="I4" s="212"/>
      <c r="J4" s="210" t="s">
        <v>50</v>
      </c>
      <c r="K4" s="212"/>
      <c r="L4" s="4"/>
      <c r="M4" s="4"/>
      <c r="N4" s="4"/>
      <c r="O4" s="4"/>
      <c r="P4" s="4"/>
      <c r="Q4" s="4"/>
      <c r="R4" s="4"/>
    </row>
    <row r="5" spans="1:18" ht="20.25" thickTop="1" thickBot="1" x14ac:dyDescent="0.35">
      <c r="B5" s="30"/>
      <c r="E5" s="30"/>
      <c r="F5" s="86"/>
      <c r="G5" s="213" t="s">
        <v>85</v>
      </c>
      <c r="H5" s="214"/>
      <c r="I5" s="215"/>
      <c r="J5" s="213" t="s">
        <v>86</v>
      </c>
      <c r="K5" s="215"/>
      <c r="L5" s="4"/>
      <c r="M5" s="4"/>
      <c r="N5" s="4"/>
      <c r="O5" s="4"/>
      <c r="P5" s="4"/>
      <c r="Q5" s="4"/>
      <c r="R5" s="4"/>
    </row>
    <row r="6" spans="1:18" ht="19.5" thickTop="1" x14ac:dyDescent="0.3">
      <c r="A6" s="97" t="s">
        <v>94</v>
      </c>
      <c r="B6" s="110"/>
      <c r="C6" s="96"/>
      <c r="D6" s="96"/>
      <c r="E6" s="111"/>
      <c r="F6" s="86"/>
      <c r="G6" s="201" t="s">
        <v>87</v>
      </c>
      <c r="H6" s="202"/>
      <c r="I6" s="203"/>
      <c r="J6" s="201" t="s">
        <v>88</v>
      </c>
      <c r="K6" s="203"/>
      <c r="L6" s="4"/>
      <c r="M6" s="4"/>
      <c r="N6" s="4"/>
      <c r="O6" s="4"/>
      <c r="P6" s="4"/>
      <c r="Q6" s="4"/>
      <c r="R6" s="4"/>
    </row>
    <row r="7" spans="1:18" ht="19.5" thickBot="1" x14ac:dyDescent="0.35">
      <c r="A7" s="108" t="s">
        <v>95</v>
      </c>
      <c r="B7" s="110"/>
      <c r="C7" s="110"/>
      <c r="D7" s="110"/>
      <c r="E7" s="111"/>
      <c r="F7" s="86"/>
      <c r="G7" s="201" t="s">
        <v>89</v>
      </c>
      <c r="H7" s="202"/>
      <c r="I7" s="203"/>
      <c r="J7" s="201" t="s">
        <v>90</v>
      </c>
      <c r="K7" s="203"/>
      <c r="L7" s="4"/>
      <c r="M7" s="4"/>
      <c r="N7" s="4"/>
      <c r="O7" s="4"/>
      <c r="P7" s="4"/>
      <c r="Q7" s="4"/>
      <c r="R7" s="4"/>
    </row>
    <row r="8" spans="1:18" ht="19.5" thickTop="1" x14ac:dyDescent="0.3">
      <c r="A8" s="22"/>
      <c r="B8" s="22"/>
      <c r="C8" s="22"/>
      <c r="D8" s="22"/>
      <c r="E8" s="22"/>
      <c r="F8" s="86"/>
      <c r="G8" s="201" t="s">
        <v>91</v>
      </c>
      <c r="H8" s="202"/>
      <c r="I8" s="203"/>
      <c r="J8" s="201" t="s">
        <v>1</v>
      </c>
      <c r="K8" s="203"/>
      <c r="L8" s="4"/>
      <c r="M8" s="4"/>
      <c r="N8" s="4"/>
      <c r="O8" s="4"/>
      <c r="P8" s="4"/>
      <c r="Q8" s="4"/>
      <c r="R8" s="4"/>
    </row>
    <row r="9" spans="1:18" ht="19.5" thickBot="1" x14ac:dyDescent="0.35">
      <c r="F9" s="86"/>
      <c r="G9" s="195" t="s">
        <v>92</v>
      </c>
      <c r="H9" s="196"/>
      <c r="I9" s="197"/>
      <c r="J9" s="195" t="s">
        <v>93</v>
      </c>
      <c r="K9" s="197"/>
      <c r="L9" s="4"/>
      <c r="M9" s="4"/>
      <c r="N9" s="4"/>
      <c r="O9" s="4"/>
      <c r="P9" s="4"/>
      <c r="Q9" s="4"/>
      <c r="R9" s="4"/>
    </row>
    <row r="10" spans="1:18" ht="20.25" thickTop="1" thickBot="1" x14ac:dyDescent="0.35">
      <c r="A10" s="86"/>
      <c r="B10" s="86"/>
      <c r="C10" s="86"/>
      <c r="D10" s="86"/>
      <c r="E10" s="86"/>
      <c r="F10" s="86"/>
      <c r="G10" s="86"/>
      <c r="H10" s="128"/>
      <c r="I10" s="112"/>
      <c r="J10" s="86"/>
      <c r="K10" s="86"/>
      <c r="L10" s="4"/>
      <c r="M10" s="4"/>
      <c r="N10" s="4"/>
      <c r="O10" s="4"/>
      <c r="P10" s="4"/>
      <c r="Q10" s="4"/>
      <c r="R10" s="4"/>
    </row>
    <row r="11" spans="1:18" s="17" customFormat="1" ht="20.25" thickTop="1" thickBot="1" x14ac:dyDescent="0.3">
      <c r="A11" s="98" t="s">
        <v>72</v>
      </c>
      <c r="B11" s="98" t="s">
        <v>73</v>
      </c>
      <c r="C11" s="98" t="s">
        <v>74</v>
      </c>
      <c r="D11" s="98" t="s">
        <v>75</v>
      </c>
      <c r="E11" s="98" t="s">
        <v>76</v>
      </c>
      <c r="F11" s="98" t="s">
        <v>77</v>
      </c>
      <c r="G11" s="98" t="s">
        <v>78</v>
      </c>
      <c r="H11" s="98" t="s">
        <v>79</v>
      </c>
      <c r="I11" s="98" t="s">
        <v>80</v>
      </c>
      <c r="J11" s="98" t="s">
        <v>81</v>
      </c>
      <c r="K11" s="98" t="s">
        <v>82</v>
      </c>
      <c r="L11" s="94"/>
      <c r="M11" s="94"/>
      <c r="N11" s="94"/>
      <c r="O11" s="94"/>
      <c r="P11" s="94"/>
      <c r="Q11" s="94"/>
      <c r="R11" s="94"/>
    </row>
    <row r="12" spans="1:18" ht="15.6" customHeight="1" thickTop="1" thickBot="1" x14ac:dyDescent="0.3">
      <c r="A12" s="100">
        <v>815864</v>
      </c>
      <c r="B12" s="100" t="s">
        <v>47</v>
      </c>
      <c r="C12" s="100">
        <v>57</v>
      </c>
      <c r="D12" s="100">
        <v>25</v>
      </c>
      <c r="E12" s="100">
        <v>41</v>
      </c>
      <c r="F12" s="100">
        <v>62</v>
      </c>
      <c r="G12" s="100">
        <v>93</v>
      </c>
      <c r="H12" s="105">
        <f>SUM(C12:G12)</f>
        <v>278</v>
      </c>
      <c r="I12" s="129">
        <f>H12/500</f>
        <v>0.55600000000000005</v>
      </c>
      <c r="J12" s="105" t="str">
        <f>IF(I12&gt;=80.01%,"A+",IF(I12&gt;=60.01%,"A",IF(I12&gt;=45.01%,"B",IF(I12&gt;33.01%,"B+",IF(I12&lt;33%,"C")))))</f>
        <v>B</v>
      </c>
      <c r="K12" s="105" t="str" cm="1">
        <f t="array" ref="K12:K34">IF(I12:I34&gt;=33%,"PASS","FAIL")</f>
        <v>PASS</v>
      </c>
      <c r="L12" s="4"/>
      <c r="R12" s="4"/>
    </row>
    <row r="13" spans="1:18" ht="17.25" thickTop="1" thickBot="1" x14ac:dyDescent="0.3">
      <c r="A13" s="101">
        <v>815865</v>
      </c>
      <c r="B13" s="101" t="s">
        <v>48</v>
      </c>
      <c r="C13" s="101">
        <v>52</v>
      </c>
      <c r="D13" s="101">
        <v>64</v>
      </c>
      <c r="E13" s="101">
        <v>40</v>
      </c>
      <c r="F13" s="101">
        <v>62</v>
      </c>
      <c r="G13" s="101">
        <v>48</v>
      </c>
      <c r="H13" s="106">
        <f>SUM(C13:G13)</f>
        <v>266</v>
      </c>
      <c r="I13" s="129">
        <f t="shared" ref="I13:I34" si="0">H13/500</f>
        <v>0.53200000000000003</v>
      </c>
      <c r="J13" s="105" t="str">
        <f t="shared" ref="J13:J34" si="1">IF(I13&gt;=80.01%,"A+",IF(I13&gt;=60.01%,"A",IF(I13&gt;=45.01%,"B",IF(I13&gt;33.01%,"B+",IF(I13&lt;33%,"C")))))</f>
        <v>B</v>
      </c>
      <c r="K13" s="106" t="str">
        <v>PASS</v>
      </c>
      <c r="L13" s="4"/>
      <c r="R13" s="4"/>
    </row>
    <row r="14" spans="1:18" ht="17.25" thickTop="1" thickBot="1" x14ac:dyDescent="0.3">
      <c r="A14" s="101">
        <v>815866</v>
      </c>
      <c r="B14" s="101" t="s">
        <v>49</v>
      </c>
      <c r="C14" s="101">
        <v>35</v>
      </c>
      <c r="D14" s="101">
        <v>60</v>
      </c>
      <c r="E14" s="101">
        <v>44</v>
      </c>
      <c r="F14" s="101">
        <v>59</v>
      </c>
      <c r="G14" s="101">
        <v>82</v>
      </c>
      <c r="H14" s="106">
        <f t="shared" ref="H14:H34" si="2">SUM(C14:G14)</f>
        <v>280</v>
      </c>
      <c r="I14" s="129">
        <f t="shared" si="0"/>
        <v>0.56000000000000005</v>
      </c>
      <c r="J14" s="105" t="str">
        <f t="shared" si="1"/>
        <v>B</v>
      </c>
      <c r="K14" s="106" t="str">
        <v>PASS</v>
      </c>
      <c r="L14" s="4"/>
      <c r="R14" s="4"/>
    </row>
    <row r="15" spans="1:18" ht="17.25" thickTop="1" thickBot="1" x14ac:dyDescent="0.3">
      <c r="A15" s="101">
        <v>815867</v>
      </c>
      <c r="B15" s="101" t="s">
        <v>51</v>
      </c>
      <c r="C15" s="101">
        <v>65</v>
      </c>
      <c r="D15" s="101">
        <v>86</v>
      </c>
      <c r="E15" s="101">
        <v>24</v>
      </c>
      <c r="F15" s="101">
        <v>88</v>
      </c>
      <c r="G15" s="101">
        <v>96</v>
      </c>
      <c r="H15" s="106">
        <f t="shared" si="2"/>
        <v>359</v>
      </c>
      <c r="I15" s="129">
        <f t="shared" si="0"/>
        <v>0.71799999999999997</v>
      </c>
      <c r="J15" s="105" t="str">
        <f t="shared" si="1"/>
        <v>A</v>
      </c>
      <c r="K15" s="106" t="str">
        <v>PASS</v>
      </c>
    </row>
    <row r="16" spans="1:18" ht="17.25" thickTop="1" thickBot="1" x14ac:dyDescent="0.3">
      <c r="A16" s="101">
        <v>815868</v>
      </c>
      <c r="B16" s="101" t="s">
        <v>52</v>
      </c>
      <c r="C16" s="101">
        <v>42</v>
      </c>
      <c r="D16" s="101">
        <v>74</v>
      </c>
      <c r="E16" s="101">
        <v>83</v>
      </c>
      <c r="F16" s="101">
        <v>96</v>
      </c>
      <c r="G16" s="101">
        <v>72</v>
      </c>
      <c r="H16" s="106">
        <f t="shared" si="2"/>
        <v>367</v>
      </c>
      <c r="I16" s="129">
        <f t="shared" si="0"/>
        <v>0.73399999999999999</v>
      </c>
      <c r="J16" s="105" t="str">
        <f t="shared" si="1"/>
        <v>A</v>
      </c>
      <c r="K16" s="106" t="str">
        <v>PASS</v>
      </c>
    </row>
    <row r="17" spans="1:18" ht="17.25" thickTop="1" thickBot="1" x14ac:dyDescent="0.3">
      <c r="A17" s="101">
        <v>815869</v>
      </c>
      <c r="B17" s="101" t="s">
        <v>53</v>
      </c>
      <c r="C17" s="101">
        <v>21</v>
      </c>
      <c r="D17" s="101">
        <v>85</v>
      </c>
      <c r="E17" s="101">
        <v>73</v>
      </c>
      <c r="F17" s="101">
        <v>30</v>
      </c>
      <c r="G17" s="101">
        <v>36</v>
      </c>
      <c r="H17" s="106">
        <f t="shared" si="2"/>
        <v>245</v>
      </c>
      <c r="I17" s="129">
        <f t="shared" si="0"/>
        <v>0.49</v>
      </c>
      <c r="J17" s="105" t="str">
        <f t="shared" si="1"/>
        <v>B</v>
      </c>
      <c r="K17" s="106" t="str">
        <v>PASS</v>
      </c>
    </row>
    <row r="18" spans="1:18" ht="17.25" thickTop="1" thickBot="1" x14ac:dyDescent="0.3">
      <c r="A18" s="101">
        <v>815870</v>
      </c>
      <c r="B18" s="101" t="s">
        <v>54</v>
      </c>
      <c r="C18" s="101">
        <v>76</v>
      </c>
      <c r="D18" s="101">
        <v>37</v>
      </c>
      <c r="E18" s="101">
        <v>33</v>
      </c>
      <c r="F18" s="101">
        <v>67</v>
      </c>
      <c r="G18" s="101">
        <v>62</v>
      </c>
      <c r="H18" s="106">
        <f t="shared" si="2"/>
        <v>275</v>
      </c>
      <c r="I18" s="129">
        <f t="shared" si="0"/>
        <v>0.55000000000000004</v>
      </c>
      <c r="J18" s="105" t="str">
        <f t="shared" si="1"/>
        <v>B</v>
      </c>
      <c r="K18" s="106" t="str">
        <v>PASS</v>
      </c>
    </row>
    <row r="19" spans="1:18" ht="17.25" thickTop="1" thickBot="1" x14ac:dyDescent="0.3">
      <c r="A19" s="101">
        <v>815871</v>
      </c>
      <c r="B19" s="101" t="s">
        <v>55</v>
      </c>
      <c r="C19" s="101">
        <v>71</v>
      </c>
      <c r="D19" s="101">
        <v>85</v>
      </c>
      <c r="E19" s="101">
        <v>89</v>
      </c>
      <c r="F19" s="101">
        <v>88</v>
      </c>
      <c r="G19" s="101">
        <v>88</v>
      </c>
      <c r="H19" s="106">
        <f t="shared" si="2"/>
        <v>421</v>
      </c>
      <c r="I19" s="129">
        <f t="shared" si="0"/>
        <v>0.84199999999999997</v>
      </c>
      <c r="J19" s="105" t="str">
        <f t="shared" si="1"/>
        <v>A+</v>
      </c>
      <c r="K19" s="106" t="str">
        <v>PASS</v>
      </c>
    </row>
    <row r="20" spans="1:18" ht="17.25" thickTop="1" thickBot="1" x14ac:dyDescent="0.3">
      <c r="A20" s="102">
        <v>815872</v>
      </c>
      <c r="B20" s="101" t="s">
        <v>56</v>
      </c>
      <c r="C20" s="102">
        <v>88</v>
      </c>
      <c r="D20" s="103">
        <v>86</v>
      </c>
      <c r="E20" s="103">
        <v>91</v>
      </c>
      <c r="F20" s="103">
        <v>99</v>
      </c>
      <c r="G20" s="103">
        <v>90</v>
      </c>
      <c r="H20" s="106">
        <f t="shared" si="2"/>
        <v>454</v>
      </c>
      <c r="I20" s="129">
        <f t="shared" si="0"/>
        <v>0.90800000000000003</v>
      </c>
      <c r="J20" s="105" t="str">
        <f t="shared" si="1"/>
        <v>A+</v>
      </c>
      <c r="K20" s="106" t="str">
        <v>PASS</v>
      </c>
    </row>
    <row r="21" spans="1:18" ht="17.25" thickTop="1" thickBot="1" x14ac:dyDescent="0.3">
      <c r="A21" s="101">
        <v>815873</v>
      </c>
      <c r="B21" s="101" t="s">
        <v>57</v>
      </c>
      <c r="C21" s="101">
        <v>29</v>
      </c>
      <c r="D21" s="101">
        <v>34</v>
      </c>
      <c r="E21" s="101">
        <v>89</v>
      </c>
      <c r="F21" s="101">
        <v>60</v>
      </c>
      <c r="G21" s="101">
        <v>70</v>
      </c>
      <c r="H21" s="106">
        <f t="shared" si="2"/>
        <v>282</v>
      </c>
      <c r="I21" s="129">
        <f t="shared" si="0"/>
        <v>0.56399999999999995</v>
      </c>
      <c r="J21" s="105" t="str">
        <f t="shared" si="1"/>
        <v>B</v>
      </c>
      <c r="K21" s="106" t="str">
        <v>PASS</v>
      </c>
    </row>
    <row r="22" spans="1:18" ht="17.25" thickTop="1" thickBot="1" x14ac:dyDescent="0.3">
      <c r="A22" s="101">
        <v>815874</v>
      </c>
      <c r="B22" s="101" t="s">
        <v>58</v>
      </c>
      <c r="C22" s="101">
        <v>26</v>
      </c>
      <c r="D22" s="101">
        <v>82</v>
      </c>
      <c r="E22" s="101">
        <v>73</v>
      </c>
      <c r="F22" s="101">
        <v>46</v>
      </c>
      <c r="G22" s="101">
        <v>62</v>
      </c>
      <c r="H22" s="106">
        <f t="shared" si="2"/>
        <v>289</v>
      </c>
      <c r="I22" s="129">
        <f t="shared" si="0"/>
        <v>0.57799999999999996</v>
      </c>
      <c r="J22" s="105" t="str">
        <f t="shared" si="1"/>
        <v>B</v>
      </c>
      <c r="K22" s="106" t="str">
        <v>PASS</v>
      </c>
    </row>
    <row r="23" spans="1:18" ht="17.25" thickTop="1" thickBot="1" x14ac:dyDescent="0.3">
      <c r="A23" s="101">
        <v>815875</v>
      </c>
      <c r="B23" s="101" t="s">
        <v>59</v>
      </c>
      <c r="C23" s="101">
        <v>53</v>
      </c>
      <c r="D23" s="101">
        <v>27</v>
      </c>
      <c r="E23" s="101">
        <v>30</v>
      </c>
      <c r="F23" s="101">
        <v>86</v>
      </c>
      <c r="G23" s="101">
        <v>38</v>
      </c>
      <c r="H23" s="106">
        <f t="shared" si="2"/>
        <v>234</v>
      </c>
      <c r="I23" s="129">
        <f t="shared" si="0"/>
        <v>0.46800000000000003</v>
      </c>
      <c r="J23" s="105" t="str">
        <f t="shared" si="1"/>
        <v>B</v>
      </c>
      <c r="K23" s="106" t="str">
        <v>PASS</v>
      </c>
    </row>
    <row r="24" spans="1:18" ht="17.25" thickTop="1" thickBot="1" x14ac:dyDescent="0.3">
      <c r="A24" s="101">
        <v>815876</v>
      </c>
      <c r="B24" s="101" t="s">
        <v>60</v>
      </c>
      <c r="C24" s="101">
        <v>66</v>
      </c>
      <c r="D24" s="101">
        <v>22</v>
      </c>
      <c r="E24" s="101">
        <v>50</v>
      </c>
      <c r="F24" s="101">
        <v>73</v>
      </c>
      <c r="G24" s="101">
        <v>23</v>
      </c>
      <c r="H24" s="106">
        <f t="shared" si="2"/>
        <v>234</v>
      </c>
      <c r="I24" s="129">
        <f t="shared" si="0"/>
        <v>0.46800000000000003</v>
      </c>
      <c r="J24" s="105" t="str">
        <f t="shared" si="1"/>
        <v>B</v>
      </c>
      <c r="K24" s="106" t="str">
        <v>PASS</v>
      </c>
    </row>
    <row r="25" spans="1:18" ht="17.25" thickTop="1" thickBot="1" x14ac:dyDescent="0.3">
      <c r="A25" s="101">
        <v>815877</v>
      </c>
      <c r="B25" s="101" t="s">
        <v>61</v>
      </c>
      <c r="C25" s="101">
        <v>33</v>
      </c>
      <c r="D25" s="101">
        <v>63</v>
      </c>
      <c r="E25" s="101">
        <v>95</v>
      </c>
      <c r="F25" s="101">
        <v>74</v>
      </c>
      <c r="G25" s="101">
        <v>70</v>
      </c>
      <c r="H25" s="106">
        <f t="shared" si="2"/>
        <v>335</v>
      </c>
      <c r="I25" s="129">
        <f t="shared" si="0"/>
        <v>0.67</v>
      </c>
      <c r="J25" s="105" t="str">
        <f t="shared" si="1"/>
        <v>A</v>
      </c>
      <c r="K25" s="106" t="str">
        <v>PASS</v>
      </c>
    </row>
    <row r="26" spans="1:18" ht="17.25" thickTop="1" thickBot="1" x14ac:dyDescent="0.3">
      <c r="A26" s="101">
        <v>815878</v>
      </c>
      <c r="B26" s="101" t="s">
        <v>62</v>
      </c>
      <c r="C26" s="101">
        <v>24</v>
      </c>
      <c r="D26" s="101">
        <v>51</v>
      </c>
      <c r="E26" s="101">
        <v>70</v>
      </c>
      <c r="F26" s="101">
        <v>47</v>
      </c>
      <c r="G26" s="101">
        <v>28</v>
      </c>
      <c r="H26" s="106">
        <f t="shared" si="2"/>
        <v>220</v>
      </c>
      <c r="I26" s="129">
        <f t="shared" si="0"/>
        <v>0.44</v>
      </c>
      <c r="J26" s="105" t="str">
        <f t="shared" si="1"/>
        <v>B+</v>
      </c>
      <c r="K26" s="106" t="str">
        <v>PASS</v>
      </c>
    </row>
    <row r="27" spans="1:18" ht="17.25" thickTop="1" thickBot="1" x14ac:dyDescent="0.3">
      <c r="A27" s="101">
        <v>815879</v>
      </c>
      <c r="B27" s="101" t="s">
        <v>63</v>
      </c>
      <c r="C27" s="101">
        <v>62</v>
      </c>
      <c r="D27" s="101">
        <v>88</v>
      </c>
      <c r="E27" s="101">
        <v>84</v>
      </c>
      <c r="F27" s="101">
        <v>68</v>
      </c>
      <c r="G27" s="101">
        <v>65</v>
      </c>
      <c r="H27" s="106">
        <f t="shared" si="2"/>
        <v>367</v>
      </c>
      <c r="I27" s="129">
        <f t="shared" si="0"/>
        <v>0.73399999999999999</v>
      </c>
      <c r="J27" s="105" t="str">
        <f t="shared" si="1"/>
        <v>A</v>
      </c>
      <c r="K27" s="106" t="str">
        <v>PASS</v>
      </c>
    </row>
    <row r="28" spans="1:18" ht="17.25" thickTop="1" thickBot="1" x14ac:dyDescent="0.3">
      <c r="A28" s="101">
        <v>815880</v>
      </c>
      <c r="B28" s="101" t="s">
        <v>64</v>
      </c>
      <c r="C28" s="101">
        <v>21</v>
      </c>
      <c r="D28" s="101">
        <v>41</v>
      </c>
      <c r="E28" s="101">
        <v>41</v>
      </c>
      <c r="F28" s="101">
        <v>62</v>
      </c>
      <c r="G28" s="101">
        <v>47</v>
      </c>
      <c r="H28" s="106">
        <f t="shared" si="2"/>
        <v>212</v>
      </c>
      <c r="I28" s="129">
        <f t="shared" si="0"/>
        <v>0.42399999999999999</v>
      </c>
      <c r="J28" s="105" t="str">
        <f t="shared" si="1"/>
        <v>B+</v>
      </c>
      <c r="K28" s="106" t="str">
        <v>PASS</v>
      </c>
      <c r="L28" s="4"/>
      <c r="M28" s="4"/>
      <c r="N28" s="4"/>
      <c r="O28" s="4"/>
      <c r="P28" s="4"/>
      <c r="Q28" s="4"/>
      <c r="R28" s="4"/>
    </row>
    <row r="29" spans="1:18" ht="17.25" thickTop="1" thickBot="1" x14ac:dyDescent="0.3">
      <c r="A29" s="101">
        <v>815881</v>
      </c>
      <c r="B29" s="101" t="s">
        <v>65</v>
      </c>
      <c r="C29" s="101">
        <v>92</v>
      </c>
      <c r="D29" s="101">
        <v>53</v>
      </c>
      <c r="E29" s="101">
        <v>91</v>
      </c>
      <c r="F29" s="101">
        <v>32</v>
      </c>
      <c r="G29" s="101">
        <v>52</v>
      </c>
      <c r="H29" s="106">
        <f t="shared" si="2"/>
        <v>320</v>
      </c>
      <c r="I29" s="129">
        <f t="shared" si="0"/>
        <v>0.64</v>
      </c>
      <c r="J29" s="105" t="str">
        <f t="shared" si="1"/>
        <v>A</v>
      </c>
      <c r="K29" s="106" t="str">
        <v>PASS</v>
      </c>
      <c r="L29" s="4"/>
      <c r="M29" s="4"/>
      <c r="N29" s="4"/>
      <c r="O29" s="4"/>
      <c r="P29" s="4"/>
      <c r="Q29" s="4"/>
      <c r="R29" s="4"/>
    </row>
    <row r="30" spans="1:18" ht="17.25" thickTop="1" thickBot="1" x14ac:dyDescent="0.3">
      <c r="A30" s="101">
        <v>815882</v>
      </c>
      <c r="B30" s="101" t="s">
        <v>66</v>
      </c>
      <c r="C30" s="101">
        <v>71</v>
      </c>
      <c r="D30" s="101">
        <v>88</v>
      </c>
      <c r="E30" s="101">
        <v>25</v>
      </c>
      <c r="F30" s="101">
        <v>89</v>
      </c>
      <c r="G30" s="101">
        <v>72</v>
      </c>
      <c r="H30" s="106">
        <f t="shared" si="2"/>
        <v>345</v>
      </c>
      <c r="I30" s="129">
        <f t="shared" si="0"/>
        <v>0.69</v>
      </c>
      <c r="J30" s="105" t="str">
        <f t="shared" si="1"/>
        <v>A</v>
      </c>
      <c r="K30" s="106" t="str">
        <v>PASS</v>
      </c>
      <c r="L30" s="4"/>
      <c r="M30" s="4"/>
      <c r="N30" s="4"/>
      <c r="O30" s="4"/>
      <c r="P30" s="4"/>
      <c r="Q30" s="4"/>
      <c r="R30" s="4"/>
    </row>
    <row r="31" spans="1:18" ht="17.25" thickTop="1" thickBot="1" x14ac:dyDescent="0.3">
      <c r="A31" s="101">
        <v>815883</v>
      </c>
      <c r="B31" s="101" t="s">
        <v>67</v>
      </c>
      <c r="C31" s="101">
        <v>66</v>
      </c>
      <c r="D31" s="101">
        <v>68</v>
      </c>
      <c r="E31" s="101">
        <v>96</v>
      </c>
      <c r="F31" s="101">
        <v>44</v>
      </c>
      <c r="G31" s="101">
        <v>72</v>
      </c>
      <c r="H31" s="106">
        <f t="shared" si="2"/>
        <v>346</v>
      </c>
      <c r="I31" s="129">
        <f t="shared" si="0"/>
        <v>0.69199999999999995</v>
      </c>
      <c r="J31" s="105" t="str">
        <f t="shared" si="1"/>
        <v>A</v>
      </c>
      <c r="K31" s="106" t="str">
        <v>PASS</v>
      </c>
      <c r="L31" s="4"/>
      <c r="M31" s="4"/>
      <c r="N31" s="4"/>
      <c r="O31" s="4"/>
      <c r="P31" s="4"/>
      <c r="Q31" s="4"/>
      <c r="R31" s="4"/>
    </row>
    <row r="32" spans="1:18" ht="17.25" thickTop="1" thickBot="1" x14ac:dyDescent="0.3">
      <c r="A32" s="101">
        <v>815884</v>
      </c>
      <c r="B32" s="101" t="s">
        <v>68</v>
      </c>
      <c r="C32" s="101">
        <v>33</v>
      </c>
      <c r="D32" s="101">
        <v>29</v>
      </c>
      <c r="E32" s="101">
        <v>27</v>
      </c>
      <c r="F32" s="101">
        <v>44</v>
      </c>
      <c r="G32" s="101">
        <v>21</v>
      </c>
      <c r="H32" s="106">
        <f t="shared" si="2"/>
        <v>154</v>
      </c>
      <c r="I32" s="129">
        <f t="shared" si="0"/>
        <v>0.308</v>
      </c>
      <c r="J32" s="105" t="str">
        <f t="shared" si="1"/>
        <v>C</v>
      </c>
      <c r="K32" s="106" t="str">
        <v>FAIL</v>
      </c>
      <c r="L32" s="4"/>
      <c r="M32" s="4"/>
      <c r="N32" s="4"/>
      <c r="O32" s="4"/>
      <c r="P32" s="4"/>
      <c r="Q32" s="4"/>
      <c r="R32" s="4"/>
    </row>
    <row r="33" spans="1:18" ht="17.25" thickTop="1" thickBot="1" x14ac:dyDescent="0.3">
      <c r="A33" s="101">
        <v>815885</v>
      </c>
      <c r="B33" s="101" t="s">
        <v>69</v>
      </c>
      <c r="C33" s="101">
        <v>22</v>
      </c>
      <c r="D33" s="101">
        <v>28</v>
      </c>
      <c r="E33" s="101">
        <v>33</v>
      </c>
      <c r="F33" s="101">
        <v>26</v>
      </c>
      <c r="G33" s="101">
        <v>42</v>
      </c>
      <c r="H33" s="106">
        <f t="shared" si="2"/>
        <v>151</v>
      </c>
      <c r="I33" s="129">
        <f t="shared" si="0"/>
        <v>0.30199999999999999</v>
      </c>
      <c r="J33" s="105" t="str">
        <f t="shared" si="1"/>
        <v>C</v>
      </c>
      <c r="K33" s="106" t="str">
        <v>FAIL</v>
      </c>
      <c r="L33" s="4"/>
      <c r="M33" s="4"/>
      <c r="N33" s="4"/>
      <c r="O33" s="4"/>
      <c r="P33" s="4"/>
      <c r="Q33" s="4"/>
      <c r="R33" s="4"/>
    </row>
    <row r="34" spans="1:18" ht="17.25" thickTop="1" thickBot="1" x14ac:dyDescent="0.3">
      <c r="A34" s="104">
        <v>815886</v>
      </c>
      <c r="B34" s="104" t="s">
        <v>70</v>
      </c>
      <c r="C34" s="104">
        <v>48</v>
      </c>
      <c r="D34" s="104">
        <v>82</v>
      </c>
      <c r="E34" s="104">
        <v>95</v>
      </c>
      <c r="F34" s="104">
        <v>53</v>
      </c>
      <c r="G34" s="104">
        <v>47</v>
      </c>
      <c r="H34" s="106">
        <f t="shared" si="2"/>
        <v>325</v>
      </c>
      <c r="I34" s="129">
        <f t="shared" si="0"/>
        <v>0.65</v>
      </c>
      <c r="J34" s="105" t="str">
        <f t="shared" si="1"/>
        <v>A</v>
      </c>
      <c r="K34" s="107" t="str">
        <v>PASS</v>
      </c>
      <c r="L34" s="4"/>
      <c r="M34" s="4"/>
      <c r="N34" s="4"/>
      <c r="O34" s="4"/>
      <c r="P34" s="4"/>
      <c r="Q34" s="4"/>
      <c r="R34" s="4"/>
    </row>
    <row r="35" spans="1:18" ht="16.5" thickTop="1" x14ac:dyDescent="0.25">
      <c r="K35" s="22"/>
      <c r="L35" s="4"/>
      <c r="M35" s="4"/>
      <c r="N35" s="4"/>
      <c r="O35" s="4"/>
      <c r="P35" s="4"/>
      <c r="Q35" s="4"/>
      <c r="R35" s="4"/>
    </row>
  </sheetData>
  <mergeCells count="14">
    <mergeCell ref="A3:E4"/>
    <mergeCell ref="G4:I4"/>
    <mergeCell ref="J4:K4"/>
    <mergeCell ref="G5:I5"/>
    <mergeCell ref="J5:K5"/>
    <mergeCell ref="G9:I9"/>
    <mergeCell ref="J9:K9"/>
    <mergeCell ref="G3:K3"/>
    <mergeCell ref="G6:I6"/>
    <mergeCell ref="J6:K6"/>
    <mergeCell ref="G7:I7"/>
    <mergeCell ref="J7:K7"/>
    <mergeCell ref="G8:I8"/>
    <mergeCell ref="J8:K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</vt:i4>
      </vt:variant>
    </vt:vector>
  </HeadingPairs>
  <TitlesOfParts>
    <vt:vector size="12" baseType="lpstr">
      <vt:lpstr>Q1</vt:lpstr>
      <vt:lpstr>Q2</vt:lpstr>
      <vt:lpstr>Q3</vt:lpstr>
      <vt:lpstr>Q4</vt:lpstr>
      <vt:lpstr>Q5</vt:lpstr>
      <vt:lpstr>Q6</vt:lpstr>
      <vt:lpstr>Q7</vt:lpstr>
      <vt:lpstr>Q8</vt:lpstr>
      <vt:lpstr>Q9</vt:lpstr>
      <vt:lpstr>Q10</vt:lpstr>
      <vt:lpstr>ch</vt:lpstr>
      <vt:lpstr>id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Vipul Paighan</dc:creator>
  <cp:lastModifiedBy>li</cp:lastModifiedBy>
  <dcterms:created xsi:type="dcterms:W3CDTF">2011-10-09T12:51:01Z</dcterms:created>
  <dcterms:modified xsi:type="dcterms:W3CDTF">2025-12-11T13:32:48Z</dcterms:modified>
</cp:coreProperties>
</file>